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\1. Study\courses-fit-hcmus\2026-2027\csc13003-testing\seminar\T10_Mutation_Testing_and_Test_Effectiveness\proposal\"/>
    </mc:Choice>
  </mc:AlternateContent>
  <xr:revisionPtr revIDLastSave="0" documentId="13_ncr:1_{EABE0E55-0F27-4BDB-BE2C-27C6E25143B5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01_Xếp hạng" sheetId="1" r:id="rId1"/>
    <sheet name="02_Chi tiết tool" sheetId="2" r:id="rId2"/>
    <sheet name="03_Phân tích bổ sung" sheetId="3" r:id="rId3"/>
    <sheet name="04_Nguồn &amp; Ghi chú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A13" i="1"/>
  <c r="I12" i="1"/>
  <c r="A12" i="1"/>
  <c r="I11" i="1"/>
  <c r="A11" i="1"/>
  <c r="I10" i="1"/>
  <c r="A10" i="1" s="1"/>
  <c r="I9" i="1"/>
  <c r="A9" i="1"/>
  <c r="I8" i="1"/>
  <c r="A8" i="1"/>
  <c r="I7" i="1"/>
  <c r="A7" i="1"/>
  <c r="I6" i="1"/>
  <c r="A6" i="1" s="1"/>
  <c r="I5" i="1"/>
  <c r="A5" i="1"/>
</calcChain>
</file>

<file path=xl/sharedStrings.xml><?xml version="1.0" encoding="utf-8"?>
<sst xmlns="http://schemas.openxmlformats.org/spreadsheetml/2006/main" count="328" uniqueCount="279">
  <si>
    <t>AI-Augmented Mutation Testing Tools — T10</t>
  </si>
  <si>
    <t>Khung chung: survey → chấm 5 tiêu chí S1 → ranking → shortlist. Điểm 1–5 (5 = tốt nhất), trọng số bằng nhau; Tổng/Hạng tự tính. Nội dung và điểm hiện có được giữ nguyên, chỉ chuẩn hóa cấu trúc.</t>
  </si>
  <si>
    <t>Hạng</t>
  </si>
  <si>
    <t>Tool / hướng</t>
  </si>
  <si>
    <t>Loại / Ecosystem</t>
  </si>
  <si>
    <t>Licence cost</t>
  </si>
  <si>
    <t>Learning curve</t>
  </si>
  <si>
    <t>EShop fit</t>
  </si>
  <si>
    <t>AI capability</t>
  </si>
  <si>
    <t>Community</t>
  </si>
  <si>
    <t>Tổng /25</t>
  </si>
  <si>
    <t>Nhận xét ngắn</t>
  </si>
  <si>
    <t>Chat LLM (Claude/ChatGPT/Gemini) + báo cáo Stryker</t>
  </si>
  <si>
    <t>AI hội thoại + tool truyền thống</t>
  </si>
  <si>
    <t>Hướng brief T10 gợi ý; vòng lặp thủ công: đưa mutant survived cho AI, chạy lại Stryker để kiểm chứng.</t>
  </si>
  <si>
    <t>AI coding agent (Claude Code, Cursor...) chạy Stryker</t>
  </si>
  <si>
    <t>AI agent + tool truyền thống</t>
  </si>
  <si>
    <t>Agent tự chạy Stryker và viết test; nhưng số điểm agent tự báo có thể sai (96,30% vs 94,44% khi chạy lại).</t>
  </si>
  <si>
    <t>stryker-mcp-reporter</t>
  </si>
  <si>
    <t>Plugin MCP bên thứ ba</t>
  </si>
  <si>
    <t>Đưa kết quả Stryker cho AI agent qua MCP; ít cộng đồng, chưa xác minh license.</t>
  </si>
  <si>
    <t>stryker-llm-mutator</t>
  </si>
  <si>
    <t>Plugin Stryker bên thứ ba</t>
  </si>
  <si>
    <t>Sinh thêm mutant bằng LLM; tự nhận là monkeypatch không chính thức; mặc định chỉ heuristic.</t>
  </si>
  <si>
    <t>Mutahunter</t>
  </si>
  <si>
    <t>Tool mã nguồn mở LLM</t>
  </si>
  <si>
    <t>AGPL-3.0, Python 3.11+; ví dụ chính thức trong repo là Java; cần thử với Jest/lcov của EShop.</t>
  </si>
  <si>
    <t>LLMorpheus</t>
  </si>
  <si>
    <t>Nghiên cứu / prototype</t>
  </si>
  <si>
    <t>MIT, cho npm JS/TS nhưng cần fork StrykerJS + API LLM; repo cũ đã archived 03/02/2025.</t>
  </si>
  <si>
    <t>Pynguin (+ LLM)</t>
  </si>
  <si>
    <t>Sinh test tự động Python</t>
  </si>
  <si>
    <t>Chỉ cho Python nên không chạy trên EShop (Node.js); dùng làm ví dụ khái niệm.</t>
  </si>
  <si>
    <t>Diffblue Cover</t>
  </si>
  <si>
    <t>AI sinh test thương mại</t>
  </si>
  <si>
    <t>Chỉ Java/JVM; Community Edition miễn phí 25 method/tháng; dùng RL chứ không phải LLM.</t>
  </si>
  <si>
    <t>Meta ACH</t>
  </si>
  <si>
    <t>Hệ thống nội bộ Meta</t>
  </si>
  <si>
    <t>Không tìm thấy bản công khai; chỉ dùng làm tham khảo (đặc biệt phần equivalent mutant).</t>
  </si>
  <si>
    <t>Khuyến nghị / ghi chú hiện tại</t>
  </si>
  <si>
    <t>Khuyến nghị cho proposal S1</t>
  </si>
  <si>
    <t>- Bộ ba đề xuất: Stryker (truyền thống) + Chat LLM/coding agent (AI) + Mutahunter hoặc stryker-llm-mutator (dự phòng).</t>
  </si>
  <si>
    <t>- Syllabus liệt kê Diffblue cho T10 nhưng nó chỉ hỗ trợ Java, trong khi EShop backend là Node.js -&gt; lý do hợp lệ để thay tool (cần justify ở S1, được duyệt ở S2).</t>
  </si>
  <si>
    <t>- Live demo cần 1 feature Stryker (báo cáo HTML) + 1 feature AI (xin assertion cho mutant survived, rồi chạy lại Stryker để kiểm chứng).</t>
  </si>
  <si>
    <t>AI-Augmented Mutation Testing — Chi tiết tool</t>
  </si>
  <si>
    <t>Cùng schema với file Traditional. Dấu “—” = dữ liệu nguồn hiện tại chưa có field tách riêng; không tự suy diễn hoặc bổ sung nội dung mới.</t>
  </si>
  <si>
    <t>Tool</t>
  </si>
  <si>
    <t>Ecosystem / Ngôn ngữ</t>
  </si>
  <si>
    <t>Trạng thái</t>
  </si>
  <si>
    <t>Licence &amp; Chi phí</t>
  </si>
  <si>
    <t>Learning Curve</t>
  </si>
  <si>
    <t>EShop Fit</t>
  </si>
  <si>
    <t>AI Capability</t>
  </si>
  <si>
    <t>Đánh giá / Use case</t>
  </si>
  <si>
    <t>Rủi ro / Failure mode</t>
  </si>
  <si>
    <t>Nguồn chính</t>
  </si>
  <si>
    <t>Chat LLM + báo cáo Stryker</t>
  </si>
  <si>
    <t>Bất kỳ (Stryker hỗ trợ JS/TS/Node)</t>
  </si>
  <si>
    <t>Đang khả dụng; phụ thuộc nhà cung cấp LLM</t>
  </si>
  <si>
    <t>Free tier của các chatbot (course cho phép); Stryker mã nguồn mở</t>
  </si>
  <si>
    <t>Thấp: không cần tích hợp sâu; chủ yếu chuẩn hóa prompt + context + bước verify bằng Stryker.</t>
  </si>
  <si>
    <t>Rất phù hợp: dùng trực tiếp mutant/report từ EShop Node.js và vòng lặp human review.</t>
  </si>
  <si>
    <t>Nhận hàm + mutant survived, đề xuất assertion; người dùng chạy lại Stryker để kiểm chứng (mô hình MuTAP: nhắc lại LLM kèm mutant còn sống).</t>
  </si>
  <si>
    <t>Rất phổ biến; hướng nằm trong brief T10</t>
  </si>
  <si>
    <t>Phù hợp nhất cho seminar: lấy surviving mutant → AI đề xuất assertion/test → chạy lại Stryker để xác minh.</t>
  </si>
  <si>
    <t>Assertion yếu (chỉ kiểm khác null); assertion chốt theo hành vi code hiện tại thay vì spec (over-fitting).</t>
  </si>
  <si>
    <t>https://www.sciencedirect.com/science/article/abs/pii/S0950584924000739</t>
  </si>
  <si>
    <t>AI coding agent chạy Stryker</t>
  </si>
  <si>
    <t>Bất kỳ stack có Stryker</t>
  </si>
  <si>
    <t>Đang phát triển nhanh; phụ thuộc agent/harness</t>
  </si>
  <si>
    <t>Tùy gói của từng công cụ (chưa xác minh)</t>
  </si>
  <si>
    <t>Trung bình: cần cấp repo/terminal, thiết lập guardrail và kiểm soát command/test loop.</t>
  </si>
  <si>
    <t>Rất phù hợp nếu agent chạy được repo EShop; vẫn phải kiểm chứng report thật thay vì tin self-report.</t>
  </si>
  <si>
    <t>Agent tự chạy `npx stryker run`, đọc report, viết test, chạy lại.</t>
  </si>
  <si>
    <t>Nhiều bài blog thực hành (Test Double, alexop.dev)</t>
  </si>
  <si>
    <t>Dùng để demo orchestration: agent đọc report, sửa test, chạy lại mutation test; phù hợp phần AI-augmented.</t>
  </si>
  <si>
    <t>Điểm agent tự báo có thể sai: báo 96,30% nhưng chạy lại chỉ 94,44%. Phù hợp làm công cụ lúc phát triển hơn là cổng CI.</t>
  </si>
  <si>
    <t>https://testdouble.com/insights/keep-your-coding-agent-on-task-with-mutation-testing</t>
  </si>
  <si>
    <t>Stryker JS/TS</t>
  </si>
  <si>
    <t>Experimental / community; maintenance cần theo dõi</t>
  </si>
  <si>
    <t>Chưa xác minh license</t>
  </si>
  <si>
    <t>Trung bình–Cao: cần Stryker + MCP server + client/agent hỗ trợ MCP.</t>
  </si>
  <si>
    <t>Phù hợp về stack JS/TS, nhưng nên coi là demo phụ vì ecosystem nhỏ và ít evidence.</t>
  </si>
  <si>
    <t>Plugin Stryker + server MCP: phân tích mutant survived, sinh assertion TypeScript và test giá trị biên cho AI agent (Claude Desktop, Cursor, Cline...), theo dõi lịch sử mutation score.</t>
  </si>
  <si>
    <t>Bên thứ ba, listing trên Glama; cộng đồng nhỏ</t>
  </si>
  <si>
    <t>Bridge report Stryker sang agent qua MCP để phân tích survivor và đề xuất assertion.</t>
  </si>
  <si>
    <t>Tài liệu chủ yếu là README của tác giả; chưa đánh giá độ ổn định.</t>
  </si>
  <si>
    <t>https://glama.ai/mcp/servers/kluth/stryker-mcp-reporter</t>
  </si>
  <si>
    <t>Experimental / unofficial Stryker extension</t>
  </si>
  <si>
    <t>Chưa xác minh license; chế độ heuristic mặc định không tốn tiền LLM</t>
  </si>
  <si>
    <t>Cao: monkeypatch/plugin cộng đồng; phải theo đúng version Stryker và provider LLM.</t>
  </si>
  <si>
    <t>Phù hợp về JS/TS nhưng rủi ro compatibility cao; nên dùng backup/research hơn là main workflow.</t>
  </si>
  <si>
    <t>Sinh thêm mutant (heuristic hoặc LLM); provider LLM hiện có: Anthropic Agent SDK, OpenAI/API key riêng mới ở mức dự kiến.</t>
  </si>
  <si>
    <t>Bên thứ ba; tác giả ghi rõ là unofficial monkeypatch, Stryker không hậu thuẫn</t>
  </si>
  <si>
    <t>Mở rộng mutation operator bằng heuristic/LLM; phù hợp để so traditional mutants vs LLM-generated mutants.</t>
  </si>
  <si>
    <t>Không chính thức nên có thể hỏng khi Stryker nâng phiên bản; kết quả không so sánh trực tiếp với điểm Stryker chuẩn.</t>
  </si>
  <si>
    <t>https://github.com/hughescr/stryker-llm-mutator</t>
  </si>
  <si>
    <t>Đa ngôn ngữ qua báo cáo coverage (Cobertura, JaCoCo, lcov); cần Python 3.11+</t>
  </si>
  <si>
    <t>Open-source experimental; Python 3.11+</t>
  </si>
  <si>
    <t>AGPL-3.0 + chi phí API LLM</t>
  </si>
  <si>
    <t>Trung bình: cài Python package + API key + test-command của project.</t>
  </si>
  <si>
    <t>Khả thi về nguyên tắc vì nhận test-command tùy ý, nhưng example chính thức hiện tập trung Java; cần PoC riêng trên Jest/lcov trước khi chọn.</t>
  </si>
  <si>
    <t>LLM sinh mutant theo ngữ cảnh (dùng repomap), phân tích mutant survived, có chạy diff-based; bộ sinh unit test còn WIP.</t>
  </si>
  <si>
    <t>298 sao, 26 fork, 126 commit; chưa có release trên GitHub (tại 28/09/2026)</t>
  </si>
  <si>
    <t>Dùng LLM sinh mutant theo context/repo map; phù hợp nhánh AI mutation generation hơn assertion synthesis.</t>
  </si>
  <si>
    <t>Ví dụ trong repo hiện chỉ có Java; bài đăng cũ nói có JS/Python/Go nên cần tự thử với Jest/lcov. AGPL cần lưu ý nếu tích hợp.</t>
  </si>
  <si>
    <t>https://github.com/codeintegrity-ai/mutahunter/blob/main/README.md</t>
  </si>
  <si>
    <t>npm package JS/TS</t>
  </si>
  <si>
    <t>Research prototype; repo GitHubNext cũ archived, nghiên cứu tiếp ở neu-se/llmorpheus</t>
  </si>
  <si>
    <t>MIT + chi phí API LLM kiểu OpenAI</t>
  </si>
  <si>
    <t>Cao: sinh mutants trước, cần custom/fork StrykerJS và --usePrecomputed; setup model/prompt riêng.</t>
  </si>
  <si>
    <t>Khá phù hợp về JS/TS nhưng overhead tích hợp cao hơn Chat LLM + Stryker.</t>
  </si>
  <si>
    <t>LLM đề xuất đoạn code thay cho PLACEHOLDER để tạo mutant; chạy qua bản fork StrykerJS (--usePrecomputed).</t>
  </si>
  <si>
    <t>17 sao; archived 03/02/2025, bản mới ở neu-se/llmorpheus; research prototype không hỗ trợ chính thức</t>
  </si>
  <si>
    <t>Dùng LLM để sinh mutants; có chế độ replay để tái lập một execution đã ghi lại.</t>
  </si>
  <si>
    <t>Kết quả không tất định (có --replay để tái lập); cài đặt phức tạp do cần fork Stryker.</t>
  </si>
  <si>
    <t>https://github.com/neu-se/llmorpheus</t>
  </si>
  <si>
    <t>Chỉ Python</t>
  </si>
  <si>
    <t>Đang phát triển học thuật; Python-only</t>
  </si>
  <si>
    <t>Trung bình–Cao: cần cấu hình test generation; hỗ trợ assertion generation SIMPLE / MUTATION_ANALYSIS / LLM.</t>
  </si>
  <si>
    <t>Không phù hợp trực tiếp với EShop Node.js; dùng làm reference cho mutation-driven assertion strengthening.</t>
  </si>
  <si>
    <t>Sinh assertion bằng LLM hoặc bằng phân tích mutation (dùng fork MutPy, so giá trị trả về giữa mutant và code gốc).</t>
  </si>
  <si>
    <t>Dự án học thuật (se2p), tài liệu đầy đủ trên readthedocs</t>
  </si>
  <si>
    <t>Ví dụ mạnh về việc chỉ giữ assertion có khả năng phân biệt mutant với code gốc; bản dev còn có LLM refinement.</t>
  </si>
  <si>
    <t>Không chạy trên Node.js/EShop; một nghiên cứu (PolyTest) báo mutation score của Pynguin thấp so với LLM.</t>
  </si>
  <si>
    <t>https://pynguin.readthedocs.io/latest/user/assertions.html</t>
  </si>
  <si>
    <t>Chỉ Java/JVM (IntelliJ plugin, CLI)</t>
  </si>
  <si>
    <t>Đang phát triển thương mại; Java/Kotlin</t>
  </si>
  <si>
    <t>Community miễn phí 25 method/tháng; Developer 100 method/tháng; Testing Agent từ 1.500 USD cho 5.000 dòng coverage</t>
  </si>
  <si>
    <t>Thấp–Trung bình: IntelliJ plugin dễ dùng; CLI/CI cần licence + Maven/Gradle project build sạch.</t>
  </si>
  <si>
    <t>Không phù hợp trực tiếp với EShop Node.js; phù hợp làm comparator/reference chứ không phải main demo.</t>
  </si>
  <si>
    <t>Reinforcement learning sinh JUnit test biên dịch và chạy được (không phải LLM).</t>
  </si>
  <si>
    <t>Sản phẩm thương mại; forum cộng đồng</t>
  </si>
  <si>
    <t>AI/RL sinh Java/Kotlin unit tests; có IDE, CLI và CI pipeline. Dùng làm đối chứng cho hướng AI test generation thương mại.</t>
  </si>
  <si>
    <t>Test mô tả hành vi hiện tại của code, không phải ý định lập trình viên -&gt; nguy cơ khóa cả bug; Community cần internet để check license.</t>
  </si>
  <si>
    <t>https://cover-docs.diffblue.com/get-started/what-is-diffblue-cover</t>
  </si>
  <si>
    <t>Kotlin (triển khai nội bộ Meta)</t>
  </si>
  <si>
    <t>Hệ thống nội bộ Meta / research; không có tool public</t>
  </si>
  <si>
    <t>Không có bản công khai</t>
  </si>
  <si>
    <t>Không áp dụng cho lớp: không có package public để cài.</t>
  </si>
  <si>
    <t>Không thể tích hợp EShop trực tiếp; chỉ dùng evidence cho mutation-guided LLM testing và equivalent-mutant detection.</t>
  </si>
  <si>
    <t>LLM sinh mutant theo mô tả văn bản và sinh test kill chúng; agent phát hiện equivalent mutant.</t>
  </si>
  <si>
    <t>FSE 2025 industry paper</t>
  </si>
  <si>
    <t>Research reference: sinh targeted mutants + tests và dùng LLM agent cho equivalent-mutant detection.</t>
  </si>
  <si>
    <t>Không thể dùng cho EShop; chỉ để tham khảo số liệu.</t>
  </si>
  <si>
    <t>https://arxiv.org/abs/2501.12862</t>
  </si>
  <si>
    <t>AI-Augmented Mutation Testing — Phân tích bổ sung</t>
  </si>
  <si>
    <t>Supporting analysis dùng để giải thích ranking/lựa chọn tool; không phải tiêu chí scoring bổ sung.</t>
  </si>
  <si>
    <t>Nghiên cứu</t>
  </si>
  <si>
    <t>Nội dung</t>
  </si>
  <si>
    <t>Số liệu chính</t>
  </si>
  <si>
    <t>Mức xác minh</t>
  </si>
  <si>
    <t>Nguồn</t>
  </si>
  <si>
    <t>Meta ACH (FSE 2025)</t>
  </si>
  <si>
    <t>Sinh mutant + test bằng LLM; agent phát hiện equivalent mutant</t>
  </si>
  <si>
    <t>10.795 class Kotlin, 9.095 mutant, 571 test; 73% test được chấp nhận, 36% liên quan privacy; equivalent detector precision 0,79 / recall 0,47 (0,95 / 0,96 khi tiền xử lý)</t>
  </si>
  <si>
    <t>Paper gốc</t>
  </si>
  <si>
    <t>https://arxiv.org/pdf/2501.12862</t>
  </si>
  <si>
    <t>LLMs for Equivalent Mutant Detection (ISSTA 2024)</t>
  </si>
  <si>
    <t>So sánh LLM với các kỹ thuật EMD hiện có trên 3.302 cặp mutant Java</t>
  </si>
  <si>
    <t>LLM hơn trung bình 35,69% F1; fine-tune code embedding tốt nhất; chỉ dùng prompt thì không bằng</t>
  </si>
  <si>
    <t>https://arxiv.org/abs/2408.01760</t>
  </si>
  <si>
    <t>LLMs for Multi-Lingual EMD (mở rộng, 2026)</t>
  </si>
  <si>
    <t>Mở rộng sang Java + C, 13 LLM</t>
  </si>
  <si>
    <t>3.302 cặp Java + 1.088 cặp C; LLM đạt F1 cao hơn phương pháp truyền thống được so sánh</t>
  </si>
  <si>
    <t>https://arxiv.org/abs/2607.00511</t>
  </si>
  <si>
    <t>MutGen</t>
  </si>
  <si>
    <t>Sinh test bằng LLM dẫn hướng bởi mutation, nhắm tối đa hóa mutation score</t>
  </si>
  <si>
    <t>53% -&gt; 89,5% trên HumanEval-Java (theo bài thứ cấp của Augment Code)</t>
  </si>
  <si>
    <t>Con số lấy từ nguồn thứ cấp, chưa đối chiếu paper gốc</t>
  </si>
  <si>
    <t>https://arxiv.org/pdf/2506.02954v4</t>
  </si>
  <si>
    <t>MuTAP (Python)</t>
  </si>
  <si>
    <t>Nhắc lại LLM kèm test hiện có và mutant survived; có bước tối giản assertion</t>
  </si>
  <si>
    <t>-</t>
  </si>
  <si>
    <t>Bài báo (ScienceDirect)</t>
  </si>
  <si>
    <t>Test vs Mutant (adversarial agents, 2026)</t>
  </si>
  <si>
    <t>Agent đối kháng: sinh mutant và sinh test lặp lại</t>
  </si>
  <si>
    <t>Bỏ thông tin mutant / vòng lặp làm giảm coverage 12,08-30,75% và fault detection 25,93-50,00%</t>
  </si>
  <si>
    <t>Paper gốc (arXiv)</t>
  </si>
  <si>
    <t>https://arxiv.org/html/2602.08146v1</t>
  </si>
  <si>
    <t>Tiêu chí</t>
  </si>
  <si>
    <t>Kết luận</t>
  </si>
  <si>
    <t>Tool tiêu biểu</t>
  </si>
  <si>
    <t>Ý nghĩa cho EShop</t>
  </si>
  <si>
    <t>Vai trò của AI</t>
  </si>
  <si>
    <t>Có 3 nhóm chính: (1) sinh assertion/test, (2) sinh mutant, (3) agent/orchestration chạy vòng lặp mutation.</t>
  </si>
  <si>
    <t>Chat LLM, Diffblue, Pynguin · Mutahunter, LLMorpheus · coding agent/MCP</t>
  </si>
  <si>
    <t>Nên chọn nhóm (1) hoặc (3) cho live demo vì gắn trực tiếp với Stryker/EShop.</t>
  </si>
  <si>
    <t>Cơ chế kiểm chứng</t>
  </si>
  <si>
    <t>AI output chỉ có giá trị khi được chạy lại bằng mutation engine hoặc test runner; self-report của agent không phải evidence.</t>
  </si>
  <si>
    <t>Chat LLM + Stryker; coding agent + Stryker; Pynguin mutation analysis</t>
  </si>
  <si>
    <t>Giữ Stryker làm 'oracle' thực nghiệm cho mọi assertion/test do AI đề xuất.</t>
  </si>
  <si>
    <t>https://stryker-mutator.io/docs/stryker-js/configuration/</t>
  </si>
  <si>
    <t>Tính tái lập</t>
  </si>
  <si>
    <t>LLM workflow có thể không tất định; một số research tool cung cấp replay/recording để tái lập.</t>
  </si>
  <si>
    <t>LLMorpheus --replay</t>
  </si>
  <si>
    <t>Nếu demo AI, lưu prompt + output + commit + mutation report để tái lập.</t>
  </si>
  <si>
    <t>Tool gắn trực tiếp với JS/TS/Stryker có fit cao nhất; Python-only/Java-only chỉ nên làm reference.</t>
  </si>
  <si>
    <t>Chat LLM, coding agent, Stryker plugins &gt; Mutahunter/LLMorpheus &gt; Pynguin/Diffblue/ACH</t>
  </si>
  <si>
    <t>Ưu tiên workflow ít đổi stack và có thể chạy ngay trên EShop backend.</t>
  </si>
  <si>
    <t>https://stryker-mutator.io/docs/stryker-js/guides/nodejs/</t>
  </si>
  <si>
    <t>Equivalent mutants</t>
  </si>
  <si>
    <t>AI có tín hiệu nghiên cứu tốt cho EMD nhưng chưa có giải pháp public plug-and-play phù hợp EShop.</t>
  </si>
  <si>
    <t>Meta ACH; LLM EMD studies</t>
  </si>
  <si>
    <t>Seminar nên trình bày như research direction/limitation, không hứa tự động giải quyết triệt để.</t>
  </si>
  <si>
    <t>CI / production readiness</t>
  </si>
  <si>
    <t>Mainstream traditional engine + human-reviewed AI suggestion đáng tin cậy hơn research prototype/monkeypatch để làm CI gate.</t>
  </si>
  <si>
    <t>Stryker + reviewed AI assertions</t>
  </si>
  <si>
    <t>Demo AI như assistant; mutation score/report thật mới là evidence cuối.</t>
  </si>
  <si>
    <t>https://stryker-mutator.io/docs/stryker-js/incremental/</t>
  </si>
  <si>
    <t>Failure modes</t>
  </si>
  <si>
    <t>Rủi ro chung: overfit hành vi hiện tại thay vì spec, hallucinated assertion, nondeterminism, agent báo sai kết quả, prototype lệch version.</t>
  </si>
  <si>
    <t>Chat LLM / agents / LLMorpheus / unofficial plugins</t>
  </si>
  <si>
    <t>Bắt buộc audit output AI và rerun tests + mutation testing.</t>
  </si>
  <si>
    <t>AI-Augmented Mutation Testing — Nguồn &amp; Ghi chú</t>
  </si>
  <si>
    <t>Danh mục nguồn và reliability notes. URL giữ ở dạng plain text để tiện kiểm tra/cross-check.</t>
  </si>
  <si>
    <t>#</t>
  </si>
  <si>
    <t>Tên nguồn</t>
  </si>
  <si>
    <t>URL / Tham chiếu</t>
  </si>
  <si>
    <t>Loại</t>
  </si>
  <si>
    <t>Stryker mutator - Introduction</t>
  </si>
  <si>
    <t>https://stryker-mutator.io/docs/stryker-js/introduction/</t>
  </si>
  <si>
    <t>Tài liệu chính thức</t>
  </si>
  <si>
    <t>Meta - Mutation-Guided LLM-based Test Generation at Meta (arXiv)</t>
  </si>
  <si>
    <t>Paper</t>
  </si>
  <si>
    <t>Meta - ACM DL</t>
  </si>
  <si>
    <t>https://dl.acm.org/doi/10.1145/3696630.3728544</t>
  </si>
  <si>
    <t>Engineering at Meta - LLMs Are the Key to Mutation Testing</t>
  </si>
  <si>
    <t>https://engineering.fb.com/2025/09/30/security/llms-are-the-key-to-mutation-testing-and-better-compliance/</t>
  </si>
  <si>
    <t>Blog chính thức</t>
  </si>
  <si>
    <t>LLMorpheus - GitHub (archived)</t>
  </si>
  <si>
    <t>https://github.com/githubnext/llmorpheus</t>
  </si>
  <si>
    <t>Repo chính thức</t>
  </si>
  <si>
    <t>Mutahunter - GitHub</t>
  </si>
  <si>
    <t>https://github.com/codeintegrity-ai/mutahunter</t>
  </si>
  <si>
    <t>Mutahunter - PyPI</t>
  </si>
  <si>
    <t>https://pypi.org/project/mutahunter/1.3.1/</t>
  </si>
  <si>
    <t>Trang gói</t>
  </si>
  <si>
    <t>stryker-llm-mutator - GitHub</t>
  </si>
  <si>
    <t>Repo bên thứ ba</t>
  </si>
  <si>
    <t>stryker-mcp-reporter - Glama</t>
  </si>
  <si>
    <t>Listing bên thứ ba</t>
  </si>
  <si>
    <t>Test Double - Keep your coding agent on task with mutation testing</t>
  </si>
  <si>
    <t>Blog</t>
  </si>
  <si>
    <t>alexop.dev - Mutation Testing with AI Agents</t>
  </si>
  <si>
    <t>https://alexop.dev/posts/mutation-testing-ai-agents-vitest-browser-mode/</t>
  </si>
  <si>
    <t>Pynguin - API reference</t>
  </si>
  <si>
    <t>https://pynguin.readthedocs.io/stable/api.html</t>
  </si>
  <si>
    <t>Pynguin - Test Generation Overview</t>
  </si>
  <si>
    <t>https://pynguin.readthedocs.io/latest/dev/overview.html</t>
  </si>
  <si>
    <t>Pynguin - CHANGELOG</t>
  </si>
  <si>
    <t>https://github.com/se2p/pynguin/blob/main/CHANGELOG.md</t>
  </si>
  <si>
    <t>Diffblue - Pricing</t>
  </si>
  <si>
    <t>https://www.diffblue.com/pricing/</t>
  </si>
  <si>
    <t>Trang chính thức</t>
  </si>
  <si>
    <t>Diffblue - Cover Editions</t>
  </si>
  <si>
    <t>https://cover-docs.diffblue.com/updates-and-upgrades/cover-editions</t>
  </si>
  <si>
    <t>MuTAP - ScienceDirect</t>
  </si>
  <si>
    <t>MutGen - arXiv 2506.02954</t>
  </si>
  <si>
    <t>Test vs Mutant - arXiv 2602.08146</t>
  </si>
  <si>
    <t>LLMs for Equivalent Mutant Detection - arXiv 2408.01760</t>
  </si>
  <si>
    <t>LLMs for Multi-Lingual EMD - arXiv 2607.00511</t>
  </si>
  <si>
    <t>Augment Code - Mutation Testing for AI-Generated Code</t>
  </si>
  <si>
    <t>https://www.augmentcode.com/guides/mutation-testing-ai-generated-code</t>
  </si>
  <si>
    <t>Blog thứ cấp</t>
  </si>
  <si>
    <t>EShop SUT - GitHub</t>
  </si>
  <si>
    <t>https://github.com/ttbhanh/eshop-sut</t>
  </si>
  <si>
    <t>Repo môn học</t>
  </si>
  <si>
    <t>Research Notes / Reliability Notes</t>
  </si>
  <si>
    <t>Điểm 1-5 (5 = tốt nhất) là đánh giá CHỦ QUAN của người soạn dựa trên dữ liệu đã tra cứu ngày 28/09/2026; trọng số bằng nhau. Chữ xanh = điểm nhập tay, có thể sửa - Tổng và Hạng tự tính lại. Đồng điểm được xếp theo cột EShop fit.</t>
  </si>
  <si>
    <t>Các claim/điểm số là research working data của nhóm; cần cross-check nguồn gốc trước khi đưa vào proposal chính thức.</t>
  </si>
  <si>
    <t>Các dòng research có mức xác minh khác nhau; giữ nguyên cột 'Mức xác minh' để phân biệt paper gốc, nguồn thứ cấp và dữ liệu chưa đối chiếu.</t>
  </si>
  <si>
    <t>Mutahunter README (current usage)</t>
  </si>
  <si>
    <t>LLMorpheus — neu-se current repository</t>
  </si>
  <si>
    <t>Repo nghiên cứu</t>
  </si>
  <si>
    <t>Pynguin — Generating Assertions</t>
  </si>
  <si>
    <t>Diffblue Cover — What is Cover?</t>
  </si>
  <si>
    <t>StrykerJS — NodeJS / coverage workflow</t>
  </si>
  <si>
    <t>So sánh chéo AI-augmented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</si>
</sst>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5"/>
      <color rgb="FFFFFFFF"/>
      <name val="Carlito"/>
    </font>
    <font>
      <i/>
      <sz val="10"/>
      <color rgb="FF5B6573"/>
      <name val="Carlito"/>
    </font>
    <font>
      <b/>
      <sz val="10"/>
      <color rgb="FFFFFFFF"/>
      <name val="Carlito"/>
    </font>
    <font>
      <sz val="10"/>
      <color rgb="FF1F2937"/>
      <name val="Carlito"/>
    </font>
    <font>
      <b/>
      <sz val="11"/>
      <color rgb="FF1F2937"/>
      <name val="Carlito"/>
    </font>
    <font>
      <b/>
      <sz val="11"/>
      <color rgb="FF1F1F1F"/>
      <name val="Carlito"/>
    </font>
    <font>
      <b/>
      <sz val="11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5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7" fillId="9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/>
  </sheetViews>
  <sheetFormatPr defaultRowHeight="13.8"/>
  <cols>
    <col min="1" max="1" width="8" customWidth="1"/>
    <col min="2" max="2" width="31" customWidth="1"/>
    <col min="3" max="3" width="24" customWidth="1"/>
    <col min="4" max="4" width="13" customWidth="1"/>
    <col min="5" max="5" width="14" customWidth="1"/>
    <col min="6" max="6" width="12" customWidth="1"/>
    <col min="7" max="7" width="14" customWidth="1"/>
    <col min="8" max="8" width="13" customWidth="1"/>
    <col min="9" max="9" width="11" customWidth="1"/>
    <col min="10" max="10" width="46" customWidth="1"/>
  </cols>
  <sheetData>
    <row r="1" spans="1:10" ht="22.3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28.8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7.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9.2" customHeight="1">
      <c r="A5" s="4">
        <f t="shared" ref="A5:A13" si="0">IF(I5="","",SUMPRODUCT(($I$5:$I$13&gt;I5)+($I$5:$I$13=I5)*($F$5:$F$13&gt;F5))+1)</f>
        <v>1</v>
      </c>
      <c r="B5" s="2" t="s">
        <v>12</v>
      </c>
      <c r="C5" s="2" t="s">
        <v>13</v>
      </c>
      <c r="D5" s="3">
        <v>5</v>
      </c>
      <c r="E5" s="3">
        <v>5</v>
      </c>
      <c r="F5" s="3">
        <v>5</v>
      </c>
      <c r="G5" s="3">
        <v>3</v>
      </c>
      <c r="H5" s="3">
        <v>5</v>
      </c>
      <c r="I5" s="5">
        <f t="shared" ref="I5:I13" si="1">IF(COUNTA(D5:H5)&lt;5,"",SUM(D5:H5))</f>
        <v>23</v>
      </c>
      <c r="J5" s="2" t="s">
        <v>14</v>
      </c>
    </row>
    <row r="6" spans="1:10" ht="19.2" customHeight="1">
      <c r="A6" s="4">
        <f t="shared" si="0"/>
        <v>2</v>
      </c>
      <c r="B6" s="2" t="s">
        <v>15</v>
      </c>
      <c r="C6" s="2" t="s">
        <v>16</v>
      </c>
      <c r="D6" s="3">
        <v>3</v>
      </c>
      <c r="E6" s="3">
        <v>4</v>
      </c>
      <c r="F6" s="3">
        <v>5</v>
      </c>
      <c r="G6" s="3">
        <v>4</v>
      </c>
      <c r="H6" s="3">
        <v>4</v>
      </c>
      <c r="I6" s="5">
        <f t="shared" si="1"/>
        <v>20</v>
      </c>
      <c r="J6" s="2" t="s">
        <v>17</v>
      </c>
    </row>
    <row r="7" spans="1:10" ht="19.2" customHeight="1">
      <c r="A7" s="4">
        <f t="shared" si="0"/>
        <v>3</v>
      </c>
      <c r="B7" s="2" t="s">
        <v>18</v>
      </c>
      <c r="C7" s="2" t="s">
        <v>19</v>
      </c>
      <c r="D7" s="3">
        <v>4</v>
      </c>
      <c r="E7" s="3">
        <v>3</v>
      </c>
      <c r="F7" s="3">
        <v>5</v>
      </c>
      <c r="G7" s="3">
        <v>4</v>
      </c>
      <c r="H7" s="3">
        <v>1</v>
      </c>
      <c r="I7" s="5">
        <f t="shared" si="1"/>
        <v>17</v>
      </c>
      <c r="J7" s="2" t="s">
        <v>20</v>
      </c>
    </row>
    <row r="8" spans="1:10" ht="19.2" customHeight="1">
      <c r="A8" s="4">
        <f t="shared" si="0"/>
        <v>4</v>
      </c>
      <c r="B8" s="2" t="s">
        <v>21</v>
      </c>
      <c r="C8" s="2" t="s">
        <v>22</v>
      </c>
      <c r="D8" s="3">
        <v>4</v>
      </c>
      <c r="E8" s="3">
        <v>3</v>
      </c>
      <c r="F8" s="3">
        <v>5</v>
      </c>
      <c r="G8" s="3">
        <v>3</v>
      </c>
      <c r="H8" s="3">
        <v>1</v>
      </c>
      <c r="I8" s="5">
        <f t="shared" si="1"/>
        <v>16</v>
      </c>
      <c r="J8" s="2" t="s">
        <v>23</v>
      </c>
    </row>
    <row r="9" spans="1:10" ht="19.2" customHeight="1">
      <c r="A9" s="4">
        <f t="shared" si="0"/>
        <v>5</v>
      </c>
      <c r="B9" s="2" t="s">
        <v>24</v>
      </c>
      <c r="C9" s="2" t="s">
        <v>25</v>
      </c>
      <c r="D9" s="3">
        <v>3</v>
      </c>
      <c r="E9" s="3">
        <v>3</v>
      </c>
      <c r="F9" s="3">
        <v>3</v>
      </c>
      <c r="G9" s="3">
        <v>4</v>
      </c>
      <c r="H9" s="3">
        <v>3</v>
      </c>
      <c r="I9" s="5">
        <f t="shared" si="1"/>
        <v>16</v>
      </c>
      <c r="J9" s="2" t="s">
        <v>26</v>
      </c>
    </row>
    <row r="10" spans="1:10" ht="19.2" customHeight="1">
      <c r="A10" s="4">
        <f t="shared" si="0"/>
        <v>6</v>
      </c>
      <c r="B10" s="2" t="s">
        <v>27</v>
      </c>
      <c r="C10" s="2" t="s">
        <v>28</v>
      </c>
      <c r="D10" s="3">
        <v>3</v>
      </c>
      <c r="E10" s="3">
        <v>2</v>
      </c>
      <c r="F10" s="3">
        <v>4</v>
      </c>
      <c r="G10" s="3">
        <v>4</v>
      </c>
      <c r="H10" s="3">
        <v>2</v>
      </c>
      <c r="I10" s="5">
        <f t="shared" si="1"/>
        <v>15</v>
      </c>
      <c r="J10" s="2" t="s">
        <v>29</v>
      </c>
    </row>
    <row r="11" spans="1:10" ht="19.2" customHeight="1">
      <c r="A11" s="4">
        <f t="shared" si="0"/>
        <v>7</v>
      </c>
      <c r="B11" s="2" t="s">
        <v>30</v>
      </c>
      <c r="C11" s="2" t="s">
        <v>31</v>
      </c>
      <c r="D11" s="3">
        <v>5</v>
      </c>
      <c r="E11" s="3">
        <v>3</v>
      </c>
      <c r="F11" s="3">
        <v>1</v>
      </c>
      <c r="G11" s="3">
        <v>3</v>
      </c>
      <c r="H11" s="3">
        <v>3</v>
      </c>
      <c r="I11" s="5">
        <f t="shared" si="1"/>
        <v>15</v>
      </c>
      <c r="J11" s="2" t="s">
        <v>32</v>
      </c>
    </row>
    <row r="12" spans="1:10" ht="19.2" customHeight="1">
      <c r="A12" s="4">
        <f t="shared" si="0"/>
        <v>8</v>
      </c>
      <c r="B12" s="2" t="s">
        <v>33</v>
      </c>
      <c r="C12" s="2" t="s">
        <v>34</v>
      </c>
      <c r="D12" s="3">
        <v>3</v>
      </c>
      <c r="E12" s="3">
        <v>3</v>
      </c>
      <c r="F12" s="3">
        <v>1</v>
      </c>
      <c r="G12" s="3">
        <v>4</v>
      </c>
      <c r="H12" s="3">
        <v>3</v>
      </c>
      <c r="I12" s="5">
        <f t="shared" si="1"/>
        <v>14</v>
      </c>
      <c r="J12" s="2" t="s">
        <v>35</v>
      </c>
    </row>
    <row r="13" spans="1:10" ht="19.2" customHeight="1">
      <c r="A13" s="4">
        <f t="shared" si="0"/>
        <v>9</v>
      </c>
      <c r="B13" s="2" t="s">
        <v>36</v>
      </c>
      <c r="C13" s="2" t="s">
        <v>37</v>
      </c>
      <c r="D13" s="3">
        <v>1</v>
      </c>
      <c r="E13" s="3">
        <v>1</v>
      </c>
      <c r="F13" s="3">
        <v>1</v>
      </c>
      <c r="G13" s="3">
        <v>5</v>
      </c>
      <c r="H13" s="3">
        <v>1</v>
      </c>
      <c r="I13" s="5">
        <f t="shared" si="1"/>
        <v>9</v>
      </c>
      <c r="J13" s="2" t="s">
        <v>38</v>
      </c>
    </row>
    <row r="16" spans="1:10" ht="12" customHeight="1">
      <c r="B16" s="11" t="s">
        <v>39</v>
      </c>
      <c r="C16" s="11"/>
      <c r="D16" s="11"/>
      <c r="E16" s="11"/>
      <c r="F16" s="11"/>
      <c r="G16" s="11"/>
      <c r="H16" s="11"/>
      <c r="I16" s="11"/>
      <c r="J16" s="11"/>
    </row>
    <row r="17" spans="1:10" ht="12" customHeight="1">
      <c r="A17" s="2"/>
      <c r="B17" s="2" t="s">
        <v>40</v>
      </c>
      <c r="C17" s="2"/>
      <c r="D17" s="2"/>
      <c r="E17" s="2"/>
      <c r="F17" s="2"/>
      <c r="G17" s="2"/>
      <c r="H17" s="2"/>
      <c r="I17" s="2"/>
      <c r="J17" s="2"/>
    </row>
    <row r="18" spans="1:10" ht="28.8" customHeight="1">
      <c r="A18" s="2"/>
      <c r="B18" s="2" t="s">
        <v>41</v>
      </c>
      <c r="C18" s="2"/>
      <c r="D18" s="2"/>
      <c r="E18" s="2"/>
      <c r="F18" s="2"/>
      <c r="G18" s="2"/>
      <c r="H18" s="2"/>
      <c r="I18" s="2"/>
      <c r="J18" s="2"/>
    </row>
    <row r="19" spans="1:10" ht="38.4" customHeight="1">
      <c r="A19" s="2"/>
      <c r="B19" s="2" t="s">
        <v>42</v>
      </c>
      <c r="C19" s="2"/>
      <c r="D19" s="2"/>
      <c r="E19" s="2"/>
      <c r="F19" s="2"/>
      <c r="G19" s="2"/>
      <c r="H19" s="2"/>
      <c r="I19" s="2"/>
      <c r="J19" s="2"/>
    </row>
    <row r="20" spans="1:10" ht="38.4" customHeight="1">
      <c r="A20" s="2"/>
      <c r="B20" s="2" t="s">
        <v>43</v>
      </c>
      <c r="C20" s="2"/>
      <c r="D20" s="2"/>
      <c r="E20" s="2"/>
      <c r="F20" s="2"/>
      <c r="G20" s="2"/>
      <c r="H20" s="2"/>
      <c r="I20" s="2"/>
      <c r="J20" s="2"/>
    </row>
  </sheetData>
  <mergeCells count="3">
    <mergeCell ref="A1:J1"/>
    <mergeCell ref="A2:J2"/>
    <mergeCell ref="B16:J16"/>
  </mergeCells>
  <conditionalFormatting sqref="D5:H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3">
    <cfRule type="dataBar" priority="2">
      <dataBar>
        <cfvo type="min"/>
        <cfvo type="max"/>
        <color rgb="FF2F75B5"/>
      </dataBar>
    </cfRule>
    <cfRule type="dataBar" priority="3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{8510F003-1299-156D-0B3F-58390C287888}</x14:id>
        </ext>
      </extLst>
    </cfRule>
  </conditionalFormatting>
  <dataValidations count="1">
    <dataValidation type="list" sqref="D5:H13" xr:uid="{00000000-0002-0000-0000-000000000000}">
      <formula1>"1,2,3,4,5"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10F003-1299-156D-0B3F-58390C287888}">
            <x14:dataBar>
              <x14:cfvo type="min"/>
              <x14:cfvo type="max"/>
              <x14:negativeFillColor auto="1"/>
              <x14:axisColor auto="1"/>
            </x14:dataBar>
          </x14:cfRule>
          <xm:sqref>I5:I13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workbookViewId="0"/>
  </sheetViews>
  <sheetFormatPr defaultRowHeight="13.8"/>
  <cols>
    <col min="1" max="1" width="27" customWidth="1"/>
    <col min="2" max="2" width="26" customWidth="1"/>
    <col min="3" max="3" width="19" customWidth="1"/>
    <col min="4" max="4" width="25" customWidth="1"/>
    <col min="5" max="5" width="30" customWidth="1"/>
    <col min="6" max="7" width="31" customWidth="1"/>
    <col min="8" max="8" width="27" customWidth="1"/>
    <col min="9" max="11" width="34" customWidth="1"/>
  </cols>
  <sheetData>
    <row r="1" spans="1:11" ht="22.35" customHeight="1">
      <c r="A1" s="9" t="s">
        <v>44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8.8" customHeight="1">
      <c r="A2" s="10" t="s">
        <v>45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27.15" customHeight="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9</v>
      </c>
      <c r="I4" s="1" t="s">
        <v>53</v>
      </c>
      <c r="J4" s="1" t="s">
        <v>54</v>
      </c>
      <c r="K4" s="1" t="s">
        <v>55</v>
      </c>
    </row>
    <row r="5" spans="1:11" ht="38.4" customHeight="1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</row>
    <row r="6" spans="1:11" ht="28.8" customHeight="1">
      <c r="A6" s="2" t="s">
        <v>67</v>
      </c>
      <c r="B6" s="2" t="s">
        <v>68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</row>
    <row r="7" spans="1:11" ht="48" customHeight="1">
      <c r="A7" s="2" t="s">
        <v>18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</row>
    <row r="8" spans="1:11" ht="28.8" customHeight="1">
      <c r="A8" s="2" t="s">
        <v>21</v>
      </c>
      <c r="B8" s="2" t="s">
        <v>78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92</v>
      </c>
      <c r="H8" s="2" t="s">
        <v>93</v>
      </c>
      <c r="I8" s="2" t="s">
        <v>94</v>
      </c>
      <c r="J8" s="2" t="s">
        <v>95</v>
      </c>
      <c r="K8" s="2" t="s">
        <v>96</v>
      </c>
    </row>
    <row r="9" spans="1:11" ht="28.8" customHeight="1">
      <c r="A9" s="2" t="s">
        <v>24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 t="s">
        <v>104</v>
      </c>
      <c r="J9" s="2" t="s">
        <v>105</v>
      </c>
      <c r="K9" s="2" t="s">
        <v>106</v>
      </c>
    </row>
    <row r="10" spans="1:11" ht="28.8" customHeight="1">
      <c r="A10" s="2" t="s">
        <v>27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112</v>
      </c>
      <c r="H10" s="2" t="s">
        <v>113</v>
      </c>
      <c r="I10" s="2" t="s">
        <v>114</v>
      </c>
      <c r="J10" s="2" t="s">
        <v>115</v>
      </c>
      <c r="K10" s="2" t="s">
        <v>116</v>
      </c>
    </row>
    <row r="11" spans="1:11" ht="28.8" customHeight="1">
      <c r="A11" s="2" t="s">
        <v>30</v>
      </c>
      <c r="B11" s="2" t="s">
        <v>117</v>
      </c>
      <c r="C11" s="2" t="s">
        <v>118</v>
      </c>
      <c r="D11" s="2" t="s">
        <v>80</v>
      </c>
      <c r="E11" s="2" t="s">
        <v>119</v>
      </c>
      <c r="F11" s="2" t="s">
        <v>120</v>
      </c>
      <c r="G11" s="2" t="s">
        <v>121</v>
      </c>
      <c r="H11" s="2" t="s">
        <v>122</v>
      </c>
      <c r="I11" s="2" t="s">
        <v>123</v>
      </c>
      <c r="J11" s="2" t="s">
        <v>124</v>
      </c>
      <c r="K11" s="2" t="s">
        <v>125</v>
      </c>
    </row>
    <row r="12" spans="1:11" ht="38.4" customHeight="1">
      <c r="A12" s="2" t="s">
        <v>33</v>
      </c>
      <c r="B12" s="2" t="s">
        <v>126</v>
      </c>
      <c r="C12" s="2" t="s">
        <v>127</v>
      </c>
      <c r="D12" s="2" t="s">
        <v>128</v>
      </c>
      <c r="E12" s="2" t="s">
        <v>129</v>
      </c>
      <c r="F12" s="2" t="s">
        <v>130</v>
      </c>
      <c r="G12" s="2" t="s">
        <v>131</v>
      </c>
      <c r="H12" s="2" t="s">
        <v>132</v>
      </c>
      <c r="I12" s="2" t="s">
        <v>133</v>
      </c>
      <c r="J12" s="2" t="s">
        <v>134</v>
      </c>
      <c r="K12" s="2" t="s">
        <v>135</v>
      </c>
    </row>
    <row r="13" spans="1:11" ht="28.8" customHeight="1">
      <c r="A13" s="2" t="s">
        <v>36</v>
      </c>
      <c r="B13" s="2" t="s">
        <v>136</v>
      </c>
      <c r="C13" s="2" t="s">
        <v>137</v>
      </c>
      <c r="D13" s="2" t="s">
        <v>138</v>
      </c>
      <c r="E13" s="2" t="s">
        <v>139</v>
      </c>
      <c r="F13" s="2" t="s">
        <v>140</v>
      </c>
      <c r="G13" s="2" t="s">
        <v>141</v>
      </c>
      <c r="H13" s="2" t="s">
        <v>142</v>
      </c>
      <c r="I13" s="2" t="s">
        <v>143</v>
      </c>
      <c r="J13" s="2" t="s">
        <v>144</v>
      </c>
      <c r="K13" s="2" t="s">
        <v>145</v>
      </c>
    </row>
    <row r="14" spans="1:1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</sheetData>
  <mergeCells count="2">
    <mergeCell ref="A1:K1"/>
    <mergeCell ref="A2:K2"/>
  </mergeCells>
  <conditionalFormatting sqref="C5:C13">
    <cfRule type="expression" dxfId="2" priority="1">
      <formula>ISNUMBER(SEARCH("Đang bảo trì",C5))</formula>
    </cfRule>
    <cfRule type="expression" dxfId="1" priority="2">
      <formula>OR(ISNUMBER(SEARCH("Chậm",C5)),ISNUMBER(SEARCH("không rõ",C5)))</formula>
    </cfRule>
    <cfRule type="expression" dxfId="0" priority="3">
      <formula>OR(ISNUMBER(SEARCH("Đã bỏ",C5)),ISNUMBER(SEARCH("Archived",C5)),ISNUMBER(SEARCH("archived",C5)))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0"/>
  <sheetViews>
    <sheetView topLeftCell="A19" workbookViewId="0">
      <selection activeCell="C20" sqref="C20"/>
    </sheetView>
  </sheetViews>
  <sheetFormatPr defaultRowHeight="13.8"/>
  <cols>
    <col min="1" max="1" width="28" customWidth="1"/>
    <col min="2" max="2" width="46" customWidth="1"/>
    <col min="3" max="3" width="48" customWidth="1"/>
    <col min="4" max="4" width="24" customWidth="1"/>
    <col min="5" max="5" width="48" customWidth="1"/>
  </cols>
  <sheetData>
    <row r="1" spans="1:11" ht="22.35" customHeight="1">
      <c r="A1" s="9" t="s">
        <v>146</v>
      </c>
      <c r="B1" s="9"/>
      <c r="C1" s="9"/>
      <c r="D1" s="9"/>
      <c r="E1" s="9"/>
      <c r="F1" s="7"/>
      <c r="G1" s="7"/>
      <c r="H1" s="7"/>
      <c r="I1" s="7"/>
      <c r="J1" s="7"/>
      <c r="K1" s="7"/>
    </row>
    <row r="2" spans="1:11" ht="28.8" customHeight="1">
      <c r="A2" s="10" t="s">
        <v>147</v>
      </c>
      <c r="B2" s="10"/>
      <c r="C2" s="10"/>
      <c r="D2" s="10"/>
      <c r="E2" s="10"/>
      <c r="F2" s="7"/>
      <c r="G2" s="7"/>
      <c r="H2" s="7"/>
      <c r="I2" s="7"/>
      <c r="J2" s="7"/>
      <c r="K2" s="7"/>
    </row>
    <row r="3" spans="1:1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27.15" customHeight="1">
      <c r="A4" s="1" t="s">
        <v>148</v>
      </c>
      <c r="B4" s="1" t="s">
        <v>149</v>
      </c>
      <c r="C4" s="1" t="s">
        <v>150</v>
      </c>
      <c r="D4" s="1" t="s">
        <v>151</v>
      </c>
      <c r="E4" s="1" t="s">
        <v>152</v>
      </c>
      <c r="F4" s="7"/>
      <c r="G4" s="7"/>
      <c r="H4" s="7"/>
      <c r="I4" s="7"/>
      <c r="J4" s="7"/>
      <c r="K4" s="7"/>
    </row>
    <row r="5" spans="1:11" ht="48" customHeight="1">
      <c r="A5" s="2" t="s">
        <v>153</v>
      </c>
      <c r="B5" s="2" t="s">
        <v>154</v>
      </c>
      <c r="C5" s="2" t="s">
        <v>155</v>
      </c>
      <c r="D5" s="2" t="s">
        <v>156</v>
      </c>
      <c r="E5" s="2" t="s">
        <v>157</v>
      </c>
      <c r="F5" s="7"/>
      <c r="G5" s="7"/>
      <c r="H5" s="7"/>
      <c r="I5" s="7"/>
      <c r="J5" s="7"/>
      <c r="K5" s="7"/>
    </row>
    <row r="6" spans="1:11" ht="28.8" customHeight="1">
      <c r="A6" s="2" t="s">
        <v>158</v>
      </c>
      <c r="B6" s="2" t="s">
        <v>159</v>
      </c>
      <c r="C6" s="2" t="s">
        <v>160</v>
      </c>
      <c r="D6" s="2" t="s">
        <v>156</v>
      </c>
      <c r="E6" s="2" t="s">
        <v>161</v>
      </c>
      <c r="F6" s="7"/>
      <c r="G6" s="7"/>
      <c r="H6" s="7"/>
      <c r="I6" s="7"/>
      <c r="J6" s="7"/>
      <c r="K6" s="7"/>
    </row>
    <row r="7" spans="1:11" ht="28.8" customHeight="1">
      <c r="A7" s="2" t="s">
        <v>162</v>
      </c>
      <c r="B7" s="2" t="s">
        <v>163</v>
      </c>
      <c r="C7" s="2" t="s">
        <v>164</v>
      </c>
      <c r="D7" s="2" t="s">
        <v>156</v>
      </c>
      <c r="E7" s="2" t="s">
        <v>165</v>
      </c>
      <c r="F7" s="7"/>
      <c r="G7" s="7"/>
      <c r="H7" s="7"/>
      <c r="I7" s="7"/>
      <c r="J7" s="7"/>
      <c r="K7" s="7"/>
    </row>
    <row r="8" spans="1:11" ht="28.8" customHeight="1">
      <c r="A8" s="2" t="s">
        <v>166</v>
      </c>
      <c r="B8" s="2" t="s">
        <v>167</v>
      </c>
      <c r="C8" s="2" t="s">
        <v>168</v>
      </c>
      <c r="D8" s="2" t="s">
        <v>169</v>
      </c>
      <c r="E8" s="2" t="s">
        <v>170</v>
      </c>
      <c r="F8" s="7"/>
      <c r="G8" s="7"/>
      <c r="H8" s="7"/>
      <c r="I8" s="7"/>
      <c r="J8" s="7"/>
      <c r="K8" s="7"/>
    </row>
    <row r="9" spans="1:11" ht="19.2" customHeight="1">
      <c r="A9" s="2" t="s">
        <v>171</v>
      </c>
      <c r="B9" s="2" t="s">
        <v>172</v>
      </c>
      <c r="C9" s="2" t="s">
        <v>173</v>
      </c>
      <c r="D9" s="2" t="s">
        <v>174</v>
      </c>
      <c r="E9" s="2" t="s">
        <v>66</v>
      </c>
      <c r="F9" s="7"/>
      <c r="G9" s="7"/>
      <c r="H9" s="7"/>
      <c r="I9" s="7"/>
      <c r="J9" s="7"/>
      <c r="K9" s="7"/>
    </row>
    <row r="10" spans="1:11" ht="28.8" customHeight="1">
      <c r="A10" s="2" t="s">
        <v>175</v>
      </c>
      <c r="B10" s="2" t="s">
        <v>176</v>
      </c>
      <c r="C10" s="2" t="s">
        <v>177</v>
      </c>
      <c r="D10" s="2" t="s">
        <v>178</v>
      </c>
      <c r="E10" s="2" t="s">
        <v>179</v>
      </c>
      <c r="F10" s="7"/>
      <c r="G10" s="7"/>
      <c r="H10" s="7"/>
      <c r="I10" s="7"/>
      <c r="J10" s="7"/>
      <c r="K10" s="7"/>
    </row>
    <row r="1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>
      <c r="A12" s="12" t="s">
        <v>278</v>
      </c>
      <c r="B12" s="12"/>
      <c r="C12" s="12"/>
      <c r="D12" s="12"/>
      <c r="E12" s="12"/>
      <c r="F12" s="7"/>
      <c r="G12" s="7"/>
      <c r="H12" s="7"/>
      <c r="I12" s="7"/>
      <c r="J12" s="7"/>
      <c r="K12" s="7"/>
    </row>
    <row r="13" spans="1:11">
      <c r="A13" s="6" t="s">
        <v>180</v>
      </c>
      <c r="B13" s="6" t="s">
        <v>181</v>
      </c>
      <c r="C13" s="6" t="s">
        <v>182</v>
      </c>
      <c r="D13" s="6" t="s">
        <v>183</v>
      </c>
      <c r="E13" s="6" t="s">
        <v>152</v>
      </c>
      <c r="F13" s="7"/>
      <c r="G13" s="7"/>
      <c r="H13" s="7"/>
      <c r="I13" s="7"/>
      <c r="J13" s="7"/>
      <c r="K13" s="7"/>
    </row>
    <row r="14" spans="1:11" ht="41.4">
      <c r="A14" s="8" t="s">
        <v>184</v>
      </c>
      <c r="B14" s="8" t="s">
        <v>185</v>
      </c>
      <c r="C14" s="8" t="s">
        <v>186</v>
      </c>
      <c r="D14" s="8" t="s">
        <v>187</v>
      </c>
      <c r="E14" s="8" t="s">
        <v>125</v>
      </c>
      <c r="F14" s="7"/>
      <c r="G14" s="7"/>
      <c r="H14" s="7"/>
      <c r="I14" s="7"/>
      <c r="J14" s="7"/>
      <c r="K14" s="7"/>
    </row>
    <row r="15" spans="1:11" ht="41.4">
      <c r="A15" s="8" t="s">
        <v>188</v>
      </c>
      <c r="B15" s="8" t="s">
        <v>189</v>
      </c>
      <c r="C15" s="8" t="s">
        <v>190</v>
      </c>
      <c r="D15" s="8" t="s">
        <v>191</v>
      </c>
      <c r="E15" s="8" t="s">
        <v>192</v>
      </c>
      <c r="F15" s="7"/>
      <c r="G15" s="7"/>
      <c r="H15" s="7"/>
      <c r="I15" s="7"/>
      <c r="J15" s="7"/>
      <c r="K15" s="7"/>
    </row>
    <row r="16" spans="1:11" ht="41.4">
      <c r="A16" s="8" t="s">
        <v>193</v>
      </c>
      <c r="B16" s="8" t="s">
        <v>194</v>
      </c>
      <c r="C16" s="8" t="s">
        <v>195</v>
      </c>
      <c r="D16" s="8" t="s">
        <v>196</v>
      </c>
      <c r="E16" s="8" t="s">
        <v>116</v>
      </c>
      <c r="F16" s="7"/>
      <c r="G16" s="7"/>
      <c r="H16" s="7"/>
      <c r="I16" s="7"/>
      <c r="J16" s="7"/>
      <c r="K16" s="7"/>
    </row>
    <row r="17" spans="1:11" ht="41.4">
      <c r="A17" s="8" t="s">
        <v>7</v>
      </c>
      <c r="B17" s="8" t="s">
        <v>197</v>
      </c>
      <c r="C17" s="8" t="s">
        <v>198</v>
      </c>
      <c r="D17" s="8" t="s">
        <v>199</v>
      </c>
      <c r="E17" s="8" t="s">
        <v>200</v>
      </c>
      <c r="F17" s="7"/>
      <c r="G17" s="7"/>
      <c r="H17" s="7"/>
      <c r="I17" s="7"/>
      <c r="J17" s="7"/>
      <c r="K17" s="7"/>
    </row>
    <row r="18" spans="1:11" ht="55.2">
      <c r="A18" s="8" t="s">
        <v>201</v>
      </c>
      <c r="B18" s="8" t="s">
        <v>202</v>
      </c>
      <c r="C18" s="8" t="s">
        <v>203</v>
      </c>
      <c r="D18" s="8" t="s">
        <v>204</v>
      </c>
      <c r="E18" s="8" t="s">
        <v>161</v>
      </c>
      <c r="F18" s="7"/>
      <c r="G18" s="7"/>
      <c r="H18" s="7"/>
      <c r="I18" s="7"/>
      <c r="J18" s="7"/>
      <c r="K18" s="7"/>
    </row>
    <row r="19" spans="1:11" ht="41.4">
      <c r="A19" s="8" t="s">
        <v>205</v>
      </c>
      <c r="B19" s="8" t="s">
        <v>206</v>
      </c>
      <c r="C19" s="8" t="s">
        <v>207</v>
      </c>
      <c r="D19" s="8" t="s">
        <v>208</v>
      </c>
      <c r="E19" s="8" t="s">
        <v>209</v>
      </c>
      <c r="F19" s="7"/>
      <c r="G19" s="7"/>
      <c r="H19" s="7"/>
      <c r="I19" s="7"/>
      <c r="J19" s="7"/>
      <c r="K19" s="7"/>
    </row>
    <row r="20" spans="1:11" ht="41.4">
      <c r="A20" s="8" t="s">
        <v>210</v>
      </c>
      <c r="B20" s="8" t="s">
        <v>211</v>
      </c>
      <c r="C20" s="8" t="s">
        <v>212</v>
      </c>
      <c r="D20" s="8" t="s">
        <v>213</v>
      </c>
      <c r="E20" s="8" t="s">
        <v>116</v>
      </c>
      <c r="F20" s="7"/>
      <c r="G20" s="7"/>
      <c r="H20" s="7"/>
      <c r="I20" s="7"/>
      <c r="J20" s="7"/>
      <c r="K20" s="7"/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</sheetData>
  <mergeCells count="3">
    <mergeCell ref="A1:E1"/>
    <mergeCell ref="A2:E2"/>
    <mergeCell ref="A12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"/>
  <sheetViews>
    <sheetView tabSelected="1" topLeftCell="A16" workbookViewId="0">
      <selection sqref="A1:D1"/>
    </sheetView>
  </sheetViews>
  <sheetFormatPr defaultRowHeight="13.8"/>
  <cols>
    <col min="1" max="1" width="7" customWidth="1"/>
    <col min="2" max="2" width="42" customWidth="1"/>
    <col min="3" max="3" width="58" customWidth="1"/>
    <col min="4" max="4" width="22" customWidth="1"/>
  </cols>
  <sheetData>
    <row r="1" spans="1:11" ht="22.35" customHeight="1">
      <c r="A1" s="9" t="s">
        <v>214</v>
      </c>
      <c r="B1" s="9"/>
      <c r="C1" s="9"/>
      <c r="D1" s="9"/>
      <c r="E1" s="7"/>
      <c r="F1" s="7"/>
      <c r="G1" s="7"/>
      <c r="H1" s="7"/>
      <c r="I1" s="7"/>
      <c r="J1" s="7"/>
      <c r="K1" s="7"/>
    </row>
    <row r="2" spans="1:11" ht="28.8" customHeight="1">
      <c r="A2" s="10" t="s">
        <v>215</v>
      </c>
      <c r="B2" s="10"/>
      <c r="C2" s="10"/>
      <c r="D2" s="10"/>
      <c r="E2" s="7"/>
      <c r="F2" s="7"/>
      <c r="G2" s="7"/>
      <c r="H2" s="7"/>
      <c r="I2" s="7"/>
      <c r="J2" s="7"/>
      <c r="K2" s="7"/>
    </row>
    <row r="3" spans="1:1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27.15" customHeight="1">
      <c r="A4" s="1" t="s">
        <v>216</v>
      </c>
      <c r="B4" s="1" t="s">
        <v>217</v>
      </c>
      <c r="C4" s="1" t="s">
        <v>218</v>
      </c>
      <c r="D4" s="1" t="s">
        <v>219</v>
      </c>
      <c r="E4" s="7"/>
      <c r="F4" s="7"/>
      <c r="G4" s="7"/>
      <c r="H4" s="7"/>
      <c r="I4" s="7"/>
      <c r="J4" s="7"/>
      <c r="K4" s="7"/>
    </row>
    <row r="5" spans="1:11" ht="12" customHeight="1">
      <c r="A5" s="2">
        <v>1</v>
      </c>
      <c r="B5" s="2" t="s">
        <v>220</v>
      </c>
      <c r="C5" s="2" t="s">
        <v>221</v>
      </c>
      <c r="D5" s="2" t="s">
        <v>222</v>
      </c>
      <c r="E5" s="7"/>
      <c r="F5" s="7"/>
      <c r="G5" s="7"/>
      <c r="H5" s="7"/>
      <c r="I5" s="7"/>
      <c r="J5" s="7"/>
      <c r="K5" s="7"/>
    </row>
    <row r="6" spans="1:11" ht="19.2" customHeight="1">
      <c r="A6" s="2">
        <v>2</v>
      </c>
      <c r="B6" s="2" t="s">
        <v>223</v>
      </c>
      <c r="C6" s="2" t="s">
        <v>157</v>
      </c>
      <c r="D6" s="2" t="s">
        <v>224</v>
      </c>
      <c r="E6" s="7"/>
      <c r="F6" s="7"/>
      <c r="G6" s="7"/>
      <c r="H6" s="7"/>
      <c r="I6" s="7"/>
      <c r="J6" s="7"/>
      <c r="K6" s="7"/>
    </row>
    <row r="7" spans="1:11" ht="12" customHeight="1">
      <c r="A7" s="2">
        <v>3</v>
      </c>
      <c r="B7" s="2" t="s">
        <v>225</v>
      </c>
      <c r="C7" s="2" t="s">
        <v>226</v>
      </c>
      <c r="D7" s="2" t="s">
        <v>224</v>
      </c>
      <c r="E7" s="7"/>
      <c r="F7" s="7"/>
      <c r="G7" s="7"/>
      <c r="H7" s="7"/>
      <c r="I7" s="7"/>
      <c r="J7" s="7"/>
      <c r="K7" s="7"/>
    </row>
    <row r="8" spans="1:11" ht="19.2" customHeight="1">
      <c r="A8" s="2">
        <v>4</v>
      </c>
      <c r="B8" s="2" t="s">
        <v>227</v>
      </c>
      <c r="C8" s="2" t="s">
        <v>228</v>
      </c>
      <c r="D8" s="2" t="s">
        <v>229</v>
      </c>
      <c r="E8" s="7"/>
      <c r="F8" s="7"/>
      <c r="G8" s="7"/>
      <c r="H8" s="7"/>
      <c r="I8" s="7"/>
      <c r="J8" s="7"/>
      <c r="K8" s="7"/>
    </row>
    <row r="9" spans="1:11" ht="12" customHeight="1">
      <c r="A9" s="2">
        <v>5</v>
      </c>
      <c r="B9" s="2" t="s">
        <v>230</v>
      </c>
      <c r="C9" s="2" t="s">
        <v>231</v>
      </c>
      <c r="D9" s="2" t="s">
        <v>232</v>
      </c>
      <c r="E9" s="7"/>
      <c r="F9" s="7"/>
      <c r="G9" s="7"/>
      <c r="H9" s="7"/>
      <c r="I9" s="7"/>
      <c r="J9" s="7"/>
      <c r="K9" s="7"/>
    </row>
    <row r="10" spans="1:11" ht="12" customHeight="1">
      <c r="A10" s="2">
        <v>6</v>
      </c>
      <c r="B10" s="2" t="s">
        <v>233</v>
      </c>
      <c r="C10" s="2" t="s">
        <v>234</v>
      </c>
      <c r="D10" s="2" t="s">
        <v>232</v>
      </c>
      <c r="E10" s="7"/>
      <c r="F10" s="7"/>
      <c r="G10" s="7"/>
      <c r="H10" s="7"/>
      <c r="I10" s="7"/>
      <c r="J10" s="7"/>
      <c r="K10" s="7"/>
    </row>
    <row r="11" spans="1:11" ht="12" customHeight="1">
      <c r="A11" s="2">
        <v>7</v>
      </c>
      <c r="B11" s="2" t="s">
        <v>235</v>
      </c>
      <c r="C11" s="2" t="s">
        <v>236</v>
      </c>
      <c r="D11" s="2" t="s">
        <v>237</v>
      </c>
      <c r="E11" s="7"/>
      <c r="F11" s="7"/>
      <c r="G11" s="7"/>
      <c r="H11" s="7"/>
      <c r="I11" s="7"/>
      <c r="J11" s="7"/>
      <c r="K11" s="7"/>
    </row>
    <row r="12" spans="1:11" ht="12" customHeight="1">
      <c r="A12" s="2">
        <v>8</v>
      </c>
      <c r="B12" s="2" t="s">
        <v>238</v>
      </c>
      <c r="C12" s="2" t="s">
        <v>96</v>
      </c>
      <c r="D12" s="2" t="s">
        <v>239</v>
      </c>
      <c r="E12" s="7"/>
      <c r="F12" s="7"/>
      <c r="G12" s="7"/>
      <c r="H12" s="7"/>
      <c r="I12" s="7"/>
      <c r="J12" s="7"/>
      <c r="K12" s="7"/>
    </row>
    <row r="13" spans="1:11" ht="12" customHeight="1">
      <c r="A13" s="2">
        <v>9</v>
      </c>
      <c r="B13" s="2" t="s">
        <v>240</v>
      </c>
      <c r="C13" s="2" t="s">
        <v>87</v>
      </c>
      <c r="D13" s="2" t="s">
        <v>241</v>
      </c>
      <c r="E13" s="7"/>
      <c r="F13" s="7"/>
      <c r="G13" s="7"/>
      <c r="H13" s="7"/>
      <c r="I13" s="7"/>
      <c r="J13" s="7"/>
      <c r="K13" s="7"/>
    </row>
    <row r="14" spans="1:11" ht="19.2" customHeight="1">
      <c r="A14" s="2">
        <v>10</v>
      </c>
      <c r="B14" s="2" t="s">
        <v>242</v>
      </c>
      <c r="C14" s="2" t="s">
        <v>77</v>
      </c>
      <c r="D14" s="2" t="s">
        <v>243</v>
      </c>
      <c r="E14" s="7"/>
      <c r="F14" s="7"/>
      <c r="G14" s="7"/>
      <c r="H14" s="7"/>
      <c r="I14" s="7"/>
      <c r="J14" s="7"/>
      <c r="K14" s="7"/>
    </row>
    <row r="15" spans="1:11" ht="12" customHeight="1">
      <c r="A15" s="2">
        <v>11</v>
      </c>
      <c r="B15" s="2" t="s">
        <v>244</v>
      </c>
      <c r="C15" s="2" t="s">
        <v>245</v>
      </c>
      <c r="D15" s="2" t="s">
        <v>243</v>
      </c>
      <c r="E15" s="7"/>
      <c r="F15" s="7"/>
      <c r="G15" s="7"/>
      <c r="H15" s="7"/>
      <c r="I15" s="7"/>
      <c r="J15" s="7"/>
      <c r="K15" s="7"/>
    </row>
    <row r="16" spans="1:11" ht="12" customHeight="1">
      <c r="A16" s="2">
        <v>12</v>
      </c>
      <c r="B16" s="2" t="s">
        <v>246</v>
      </c>
      <c r="C16" s="2" t="s">
        <v>247</v>
      </c>
      <c r="D16" s="2" t="s">
        <v>222</v>
      </c>
      <c r="E16" s="7"/>
      <c r="F16" s="7"/>
      <c r="G16" s="7"/>
      <c r="H16" s="7"/>
      <c r="I16" s="7"/>
      <c r="J16" s="7"/>
      <c r="K16" s="7"/>
    </row>
    <row r="17" spans="1:11" ht="12" customHeight="1">
      <c r="A17" s="2">
        <v>13</v>
      </c>
      <c r="B17" s="2" t="s">
        <v>248</v>
      </c>
      <c r="C17" s="2" t="s">
        <v>249</v>
      </c>
      <c r="D17" s="2" t="s">
        <v>222</v>
      </c>
      <c r="E17" s="7"/>
      <c r="F17" s="7"/>
      <c r="G17" s="7"/>
      <c r="H17" s="7"/>
      <c r="I17" s="7"/>
      <c r="J17" s="7"/>
      <c r="K17" s="7"/>
    </row>
    <row r="18" spans="1:11" ht="12" customHeight="1">
      <c r="A18" s="2">
        <v>14</v>
      </c>
      <c r="B18" s="2" t="s">
        <v>250</v>
      </c>
      <c r="C18" s="2" t="s">
        <v>251</v>
      </c>
      <c r="D18" s="2" t="s">
        <v>232</v>
      </c>
      <c r="E18" s="7"/>
      <c r="F18" s="7"/>
      <c r="G18" s="7"/>
      <c r="H18" s="7"/>
      <c r="I18" s="7"/>
      <c r="J18" s="7"/>
      <c r="K18" s="7"/>
    </row>
    <row r="19" spans="1:11" ht="12" customHeight="1">
      <c r="A19" s="2">
        <v>15</v>
      </c>
      <c r="B19" s="2" t="s">
        <v>252</v>
      </c>
      <c r="C19" s="2" t="s">
        <v>253</v>
      </c>
      <c r="D19" s="2" t="s">
        <v>254</v>
      </c>
      <c r="E19" s="7"/>
      <c r="F19" s="7"/>
      <c r="G19" s="7"/>
      <c r="H19" s="7"/>
      <c r="I19" s="7"/>
      <c r="J19" s="7"/>
      <c r="K19" s="7"/>
    </row>
    <row r="20" spans="1:11" ht="12" customHeight="1">
      <c r="A20" s="2">
        <v>16</v>
      </c>
      <c r="B20" s="2" t="s">
        <v>255</v>
      </c>
      <c r="C20" s="2" t="s">
        <v>256</v>
      </c>
      <c r="D20" s="2" t="s">
        <v>222</v>
      </c>
      <c r="E20" s="7"/>
      <c r="F20" s="7"/>
      <c r="G20" s="7"/>
      <c r="H20" s="7"/>
      <c r="I20" s="7"/>
      <c r="J20" s="7"/>
      <c r="K20" s="7"/>
    </row>
    <row r="21" spans="1:11" ht="12" customHeight="1">
      <c r="A21" s="2">
        <v>17</v>
      </c>
      <c r="B21" s="2" t="s">
        <v>257</v>
      </c>
      <c r="C21" s="2" t="s">
        <v>66</v>
      </c>
      <c r="D21" s="2" t="s">
        <v>224</v>
      </c>
      <c r="E21" s="7"/>
      <c r="F21" s="7"/>
      <c r="G21" s="7"/>
      <c r="H21" s="7"/>
      <c r="I21" s="7"/>
      <c r="J21" s="7"/>
      <c r="K21" s="7"/>
    </row>
    <row r="22" spans="1:11" ht="12" customHeight="1">
      <c r="A22" s="2">
        <v>18</v>
      </c>
      <c r="B22" s="2" t="s">
        <v>258</v>
      </c>
      <c r="C22" s="2" t="s">
        <v>170</v>
      </c>
      <c r="D22" s="2" t="s">
        <v>224</v>
      </c>
      <c r="E22" s="7"/>
      <c r="F22" s="7"/>
      <c r="G22" s="7"/>
      <c r="H22" s="7"/>
      <c r="I22" s="7"/>
      <c r="J22" s="7"/>
      <c r="K22" s="7"/>
    </row>
    <row r="23" spans="1:11" ht="12" customHeight="1">
      <c r="A23" s="2">
        <v>19</v>
      </c>
      <c r="B23" s="2" t="s">
        <v>259</v>
      </c>
      <c r="C23" s="2" t="s">
        <v>179</v>
      </c>
      <c r="D23" s="2" t="s">
        <v>224</v>
      </c>
      <c r="E23" s="7"/>
      <c r="F23" s="7"/>
      <c r="G23" s="7"/>
      <c r="H23" s="7"/>
      <c r="I23" s="7"/>
      <c r="J23" s="7"/>
      <c r="K23" s="7"/>
    </row>
    <row r="24" spans="1:11" ht="12" customHeight="1">
      <c r="A24" s="2">
        <v>20</v>
      </c>
      <c r="B24" s="2" t="s">
        <v>260</v>
      </c>
      <c r="C24" s="2" t="s">
        <v>161</v>
      </c>
      <c r="D24" s="2" t="s">
        <v>224</v>
      </c>
      <c r="E24" s="7"/>
      <c r="F24" s="7"/>
      <c r="G24" s="7"/>
      <c r="H24" s="7"/>
      <c r="I24" s="7"/>
      <c r="J24" s="7"/>
      <c r="K24" s="7"/>
    </row>
    <row r="25" spans="1:11" ht="12" customHeight="1">
      <c r="A25" s="2">
        <v>21</v>
      </c>
      <c r="B25" s="2" t="s">
        <v>261</v>
      </c>
      <c r="C25" s="2" t="s">
        <v>165</v>
      </c>
      <c r="D25" s="2" t="s">
        <v>224</v>
      </c>
      <c r="E25" s="7"/>
      <c r="F25" s="7"/>
      <c r="G25" s="7"/>
      <c r="H25" s="7"/>
      <c r="I25" s="7"/>
      <c r="J25" s="7"/>
      <c r="K25" s="7"/>
    </row>
    <row r="26" spans="1:11" ht="12" customHeight="1">
      <c r="A26" s="2">
        <v>22</v>
      </c>
      <c r="B26" s="2" t="s">
        <v>262</v>
      </c>
      <c r="C26" s="2" t="s">
        <v>263</v>
      </c>
      <c r="D26" s="2" t="s">
        <v>264</v>
      </c>
      <c r="E26" s="7"/>
      <c r="F26" s="7"/>
      <c r="G26" s="7"/>
      <c r="H26" s="7"/>
      <c r="I26" s="7"/>
      <c r="J26" s="7"/>
      <c r="K26" s="7"/>
    </row>
    <row r="27" spans="1:11" ht="12" customHeight="1">
      <c r="A27" s="2">
        <v>23</v>
      </c>
      <c r="B27" s="2" t="s">
        <v>265</v>
      </c>
      <c r="C27" s="2" t="s">
        <v>266</v>
      </c>
      <c r="D27" s="2" t="s">
        <v>267</v>
      </c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12" customHeight="1">
      <c r="A29" s="11" t="s">
        <v>268</v>
      </c>
      <c r="B29" s="11"/>
      <c r="C29" s="11"/>
      <c r="D29" s="11"/>
      <c r="E29" s="7"/>
      <c r="F29" s="7"/>
      <c r="G29" s="7"/>
      <c r="H29" s="7"/>
      <c r="I29" s="7"/>
      <c r="J29" s="7"/>
      <c r="K29" s="7"/>
    </row>
    <row r="30" spans="1:11" ht="288" customHeight="1">
      <c r="A30" s="2" t="s">
        <v>269</v>
      </c>
      <c r="B30" s="2"/>
      <c r="C30" s="2"/>
      <c r="D30" s="2"/>
      <c r="E30" s="7"/>
      <c r="F30" s="7"/>
      <c r="G30" s="7"/>
      <c r="H30" s="7"/>
      <c r="I30" s="7"/>
      <c r="J30" s="7"/>
      <c r="K30" s="7"/>
    </row>
    <row r="31" spans="1:11" ht="153.6" customHeight="1">
      <c r="A31" s="2" t="s">
        <v>270</v>
      </c>
      <c r="B31" s="2"/>
      <c r="C31" s="2"/>
      <c r="D31" s="2"/>
      <c r="E31" s="7"/>
      <c r="F31" s="7"/>
      <c r="G31" s="7"/>
      <c r="H31" s="7"/>
      <c r="I31" s="7"/>
      <c r="J31" s="7"/>
      <c r="K31" s="7"/>
    </row>
    <row r="32" spans="1:11" ht="182.4" customHeight="1">
      <c r="A32" s="2" t="s">
        <v>271</v>
      </c>
      <c r="B32" s="2"/>
      <c r="C32" s="2"/>
      <c r="D32" s="2"/>
      <c r="E32" s="7"/>
      <c r="F32" s="7"/>
      <c r="G32" s="7"/>
      <c r="H32" s="7"/>
      <c r="I32" s="7"/>
      <c r="J32" s="7"/>
      <c r="K32" s="7"/>
    </row>
    <row r="33" spans="1:1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>
      <c r="A34" s="7">
        <v>24</v>
      </c>
      <c r="B34" s="7" t="s">
        <v>272</v>
      </c>
      <c r="C34" s="7" t="s">
        <v>106</v>
      </c>
      <c r="D34" s="7" t="s">
        <v>232</v>
      </c>
      <c r="E34" s="7"/>
      <c r="F34" s="7"/>
      <c r="G34" s="7"/>
      <c r="H34" s="7"/>
      <c r="I34" s="7"/>
      <c r="J34" s="7"/>
      <c r="K34" s="7"/>
    </row>
    <row r="35" spans="1:11">
      <c r="A35" s="7">
        <v>25</v>
      </c>
      <c r="B35" s="7" t="s">
        <v>273</v>
      </c>
      <c r="C35" s="7" t="s">
        <v>116</v>
      </c>
      <c r="D35" s="7" t="s">
        <v>274</v>
      </c>
      <c r="E35" s="7"/>
      <c r="F35" s="7"/>
      <c r="G35" s="7"/>
      <c r="H35" s="7"/>
      <c r="I35" s="7"/>
      <c r="J35" s="7"/>
      <c r="K35" s="7"/>
    </row>
    <row r="36" spans="1:11">
      <c r="A36" s="7">
        <v>26</v>
      </c>
      <c r="B36" s="7" t="s">
        <v>275</v>
      </c>
      <c r="C36" s="7" t="s">
        <v>125</v>
      </c>
      <c r="D36" s="7" t="s">
        <v>222</v>
      </c>
      <c r="E36" s="7"/>
      <c r="F36" s="7"/>
      <c r="G36" s="7"/>
      <c r="H36" s="7"/>
      <c r="I36" s="7"/>
      <c r="J36" s="7"/>
      <c r="K36" s="7"/>
    </row>
    <row r="37" spans="1:11">
      <c r="A37" s="7">
        <v>27</v>
      </c>
      <c r="B37" s="7" t="s">
        <v>276</v>
      </c>
      <c r="C37" s="7" t="s">
        <v>135</v>
      </c>
      <c r="D37" s="7" t="s">
        <v>222</v>
      </c>
      <c r="E37" s="7"/>
      <c r="F37" s="7"/>
      <c r="G37" s="7"/>
      <c r="H37" s="7"/>
      <c r="I37" s="7"/>
      <c r="J37" s="7"/>
      <c r="K37" s="7"/>
    </row>
    <row r="38" spans="1:11">
      <c r="A38" s="7">
        <v>28</v>
      </c>
      <c r="B38" s="7" t="s">
        <v>277</v>
      </c>
      <c r="C38" s="7" t="s">
        <v>200</v>
      </c>
      <c r="D38" s="7" t="s">
        <v>222</v>
      </c>
      <c r="E38" s="7"/>
      <c r="F38" s="7"/>
      <c r="G38" s="7"/>
      <c r="H38" s="7"/>
      <c r="I38" s="7"/>
      <c r="J38" s="7"/>
      <c r="K38" s="7"/>
    </row>
    <row r="39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</sheetData>
  <mergeCells count="3">
    <mergeCell ref="A1:D1"/>
    <mergeCell ref="A2:D2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01_Xếp hạng</vt:lpstr>
      <vt:lpstr>02_Chi tiết tool</vt:lpstr>
      <vt:lpstr>03_Phân tích bổ sung</vt:lpstr>
      <vt:lpstr>04_Nguồn &amp; Ghi chú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TỐNG DƯƠNG THÁI HÒA</cp:lastModifiedBy>
  <dcterms:modified xsi:type="dcterms:W3CDTF">2026-09-28T15:27:39Z</dcterms:modified>
</cp:coreProperties>
</file>