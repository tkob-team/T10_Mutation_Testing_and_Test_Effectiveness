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ếp hạng" sheetId="1" state="visible" r:id="rId3"/>
    <sheet name="Chi tiết tool" sheetId="2" state="visible" r:id="rId4"/>
    <sheet name="Nghiên cứu" sheetId="3" state="visible" r:id="rId5"/>
    <sheet name="Nguồ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<sst xmlns="http://schemas.openxmlformats.org/spreadsheetml/2006/main" count="221" uniqueCount="181">
  <si>
    <t xml:space="preserve">Tool AI-augmented cho Mutation Testing (T10) - xếp hạng theo 5 tiêu chí proposal S1</t>
  </si>
  <si>
    <t xml:space="preserve">Điểm 1-5 (5 = tốt nhất) là đánh giá CHỦ QUAN của người soạn dựa trên dữ liệu đã tra cứu ngày 28/09/2026; trọng số bằng nhau. Chữ xanh = điểm nhập tay, có thể sửa - Tổng và Hạng tự tính lại. Đồng điểm được xếp theo cột EShop fit.</t>
  </si>
  <si>
    <t xml:space="preserve">Hạng</t>
  </si>
  <si>
    <t xml:space="preserve">Tool / hướng</t>
  </si>
  <si>
    <t xml:space="preserve">Loại</t>
  </si>
  <si>
    <t xml:space="preserve">Licence cost</t>
  </si>
  <si>
    <t xml:space="preserve">Learning curve</t>
  </si>
  <si>
    <t xml:space="preserve">EShop fit</t>
  </si>
  <si>
    <t xml:space="preserve">AI capability</t>
  </si>
  <si>
    <t xml:space="preserve">Community</t>
  </si>
  <si>
    <t xml:space="preserve">Tổng /25</t>
  </si>
  <si>
    <t xml:space="preserve">Nhận xét ngắn</t>
  </si>
  <si>
    <t xml:space="preserve">Chat LLM (Claude/ChatGPT/Gemini) + báo cáo Stryker</t>
  </si>
  <si>
    <t xml:space="preserve">AI hội thoại + tool truyền thống</t>
  </si>
  <si>
    <t xml:space="preserve">Hướng brief T10 gợi ý; vòng lặp thủ công: đưa mutant survived cho AI, chạy lại Stryker để kiểm chứng.</t>
  </si>
  <si>
    <t xml:space="preserve">AI coding agent (Claude Code, Cursor...) chạy Stryker</t>
  </si>
  <si>
    <t xml:space="preserve">AI agent + tool truyền thống</t>
  </si>
  <si>
    <t xml:space="preserve">Agent tự chạy Stryker và viết test; nhưng số điểm agent tự báo có thể sai (96,30% vs 94,44% khi chạy lại).</t>
  </si>
  <si>
    <t xml:space="preserve">stryker-mcp-reporter</t>
  </si>
  <si>
    <t xml:space="preserve">Plugin MCP bên thứ ba</t>
  </si>
  <si>
    <t xml:space="preserve">Đưa kết quả Stryker cho AI agent qua MCP; ít cộng đồng, chưa xác minh license.</t>
  </si>
  <si>
    <t xml:space="preserve">stryker-llm-mutator</t>
  </si>
  <si>
    <t xml:space="preserve">Plugin Stryker bên thứ ba</t>
  </si>
  <si>
    <t xml:space="preserve">Sinh thêm mutant bằng LLM; tự nhận là monkeypatch không chính thức; mặc định chỉ heuristic.</t>
  </si>
  <si>
    <t xml:space="preserve">Mutahunter</t>
  </si>
  <si>
    <t xml:space="preserve">Tool mã nguồn mở LLM</t>
  </si>
  <si>
    <t xml:space="preserve">AGPL-3.0, Python 3.11+; ví dụ chính thức trong repo là Java; cần thử với Jest/lcov của EShop.</t>
  </si>
  <si>
    <t xml:space="preserve">LLMorpheus</t>
  </si>
  <si>
    <t xml:space="preserve">Nghiên cứu / prototype</t>
  </si>
  <si>
    <t xml:space="preserve">MIT, cho npm JS/TS nhưng cần fork StrykerJS + API LLM; repo cũ đã archived 03/02/2025.</t>
  </si>
  <si>
    <t xml:space="preserve">Pynguin (+ LLM)</t>
  </si>
  <si>
    <t xml:space="preserve">Sinh test tự động Python</t>
  </si>
  <si>
    <t xml:space="preserve">Chỉ cho Python nên không chạy trên EShop (Node.js); dùng làm ví dụ khái niệm.</t>
  </si>
  <si>
    <t xml:space="preserve">Diffblue Cover</t>
  </si>
  <si>
    <t xml:space="preserve">AI sinh test thương mại</t>
  </si>
  <si>
    <t xml:space="preserve">Chỉ Java/JVM; Community Edition miễn phí 25 method/tháng; dùng RL chứ không phải LLM.</t>
  </si>
  <si>
    <t xml:space="preserve">Meta ACH</t>
  </si>
  <si>
    <t xml:space="preserve">Hệ thống nội bộ Meta</t>
  </si>
  <si>
    <t xml:space="preserve">Không tìm thấy bản công khai; chỉ dùng làm tham khảo (đặc biệt phần equivalent mutant).</t>
  </si>
  <si>
    <t xml:space="preserve">Khuyến nghị cho proposal S1</t>
  </si>
  <si>
    <t xml:space="preserve">- Bộ ba đề xuất: Stryker (truyền thống) + Chat LLM/coding agent (AI) + Mutahunter hoặc stryker-llm-mutator (dự phòng).</t>
  </si>
  <si>
    <t xml:space="preserve">- Syllabus liệt kê Diffblue cho T10 nhưng nó chỉ hỗ trợ Java, trong khi EShop backend là Node.js -&gt; lý do hợp lệ để thay tool (cần justify ở S1, được duyệt ở S2).</t>
  </si>
  <si>
    <t xml:space="preserve">- Live demo cần 1 feature Stryker (báo cáo HTML) + 1 feature AI (xin assertion cho mutant survived, rồi chạy lại Stryker để kiểm chứng).</t>
  </si>
  <si>
    <t xml:space="preserve">Ngôn ngữ / phạm vi</t>
  </si>
  <si>
    <t xml:space="preserve">License &amp; chi phí</t>
  </si>
  <si>
    <t xml:space="preserve">Trạng thái / cộng đồng</t>
  </si>
  <si>
    <t xml:space="preserve">AI làm gì</t>
  </si>
  <si>
    <t xml:space="preserve">Rủi ro / failure mode</t>
  </si>
  <si>
    <t xml:space="preserve">Nguồn chính</t>
  </si>
  <si>
    <t xml:space="preserve">Chat LLM + báo cáo Stryker</t>
  </si>
  <si>
    <t xml:space="preserve">Bất kỳ (Stryker hỗ trợ JS/TS/Node)</t>
  </si>
  <si>
    <t xml:space="preserve">Free tier của các chatbot (course cho phép); Stryker mã nguồn mở</t>
  </si>
  <si>
    <t xml:space="preserve">Rất phổ biến; hướng nằm trong brief T10</t>
  </si>
  <si>
    <t xml:space="preserve">Nhận hàm + mutant survived, đề xuất assertion; người dùng chạy lại Stryker để kiểm chứng (mô hình MuTAP: nhắc lại LLM kèm mutant còn sống).</t>
  </si>
  <si>
    <t xml:space="preserve">Assertion yếu (chỉ kiểm khác null); assertion chốt theo hành vi code hiện tại thay vì spec (over-fitting).</t>
  </si>
  <si>
    <t xml:space="preserve">https://www.sciencedirect.com/science/article/abs/pii/S0950584924000739</t>
  </si>
  <si>
    <t xml:space="preserve">AI coding agent chạy Stryker</t>
  </si>
  <si>
    <t xml:space="preserve">Bất kỳ stack có Stryker</t>
  </si>
  <si>
    <t xml:space="preserve">Tùy gói của từng công cụ (chưa xác minh)</t>
  </si>
  <si>
    <t xml:space="preserve">Nhiều bài blog thực hành (Test Double, alexop.dev)</t>
  </si>
  <si>
    <t xml:space="preserve">Agent tự chạy `npx stryker run`, đọc report, viết test, chạy lại.</t>
  </si>
  <si>
    <t xml:space="preserve">Điểm agent tự báo có thể sai: báo 96,30% nhưng chạy lại chỉ 94,44%. Phù hợp làm công cụ lúc phát triển hơn là cổng CI.</t>
  </si>
  <si>
    <t xml:space="preserve">https://testdouble.com/insights/keep-your-coding-agent-on-task-with-mutation-testing</t>
  </si>
  <si>
    <t xml:space="preserve">Stryker JS/TS</t>
  </si>
  <si>
    <t xml:space="preserve">Chưa xác minh license</t>
  </si>
  <si>
    <t xml:space="preserve">Bên thứ ba, listing trên Glama; cộng đồng nhỏ</t>
  </si>
  <si>
    <t xml:space="preserve">Plugin Stryker + server MCP: phân tích mutant survived, sinh assertion TypeScript và test giá trị biên cho AI agent (Claude Desktop, Cursor, Cline...), theo dõi lịch sử mutation score.</t>
  </si>
  <si>
    <t xml:space="preserve">Tài liệu chủ yếu là README của tác giả; chưa đánh giá độ ổn định.</t>
  </si>
  <si>
    <t xml:space="preserve">https://glama.ai/mcp/servers/kluth/stryker-mcp-reporter</t>
  </si>
  <si>
    <t xml:space="preserve">Chưa xác minh license; chế độ heuristic mặc định không tốn tiền LLM</t>
  </si>
  <si>
    <t xml:space="preserve">Bên thứ ba; tác giả ghi rõ là unofficial monkeypatch, Stryker không hậu thuẫn</t>
  </si>
  <si>
    <t xml:space="preserve">Sinh thêm mutant (heuristic hoặc LLM); provider LLM hiện có: Anthropic Agent SDK, OpenAI/API key riêng mới ở mức dự kiến.</t>
  </si>
  <si>
    <t xml:space="preserve">Không chính thức nên có thể hỏng khi Stryker nâng phiên bản; kết quả không so sánh trực tiếp với điểm Stryker chuẩn.</t>
  </si>
  <si>
    <t xml:space="preserve">https://github.com/hughescr/stryker-llm-mutator</t>
  </si>
  <si>
    <t xml:space="preserve">Đa ngôn ngữ qua báo cáo coverage (Cobertura, JaCoCo, lcov); cần Python 3.11+</t>
  </si>
  <si>
    <t xml:space="preserve">AGPL-3.0 + chi phí API LLM</t>
  </si>
  <si>
    <t xml:space="preserve">298 sao, 26 fork, 126 commit; chưa có release trên GitHub (tại 28/09/2026)</t>
  </si>
  <si>
    <t xml:space="preserve">LLM sinh mutant theo ngữ cảnh (dùng repomap), phân tích mutant survived, có chạy diff-based; bộ sinh unit test còn WIP.</t>
  </si>
  <si>
    <t xml:space="preserve">Ví dụ trong repo hiện chỉ có Java; bài đăng cũ nói có JS/Python/Go nên cần tự thử với Jest/lcov. AGPL cần lưu ý nếu tích hợp.</t>
  </si>
  <si>
    <t xml:space="preserve">https://github.com/codeintegrity-ai/mutahunter</t>
  </si>
  <si>
    <t xml:space="preserve">npm package JS/TS</t>
  </si>
  <si>
    <t xml:space="preserve">MIT + chi phí API LLM kiểu OpenAI</t>
  </si>
  <si>
    <t xml:space="preserve">17 sao; archived 03/02/2025, bản mới ở neu-se/llmorpheus; research prototype không hỗ trợ chính thức</t>
  </si>
  <si>
    <t xml:space="preserve">LLM đề xuất đoạn code thay cho PLACEHOLDER để tạo mutant; chạy qua bản fork StrykerJS (--usePrecomputed).</t>
  </si>
  <si>
    <t xml:space="preserve">Kết quả không tất định (có --replay để tái lập); cài đặt phức tạp do cần fork Stryker.</t>
  </si>
  <si>
    <t xml:space="preserve">https://github.com/githubnext/llmorpheus</t>
  </si>
  <si>
    <t xml:space="preserve">Chỉ Python</t>
  </si>
  <si>
    <t xml:space="preserve">Dự án học thuật (se2p), tài liệu đầy đủ trên readthedocs</t>
  </si>
  <si>
    <t xml:space="preserve">Sinh assertion bằng LLM hoặc bằng phân tích mutation (dùng fork MutPy, so giá trị trả về giữa mutant và code gốc).</t>
  </si>
  <si>
    <t xml:space="preserve">Không chạy trên Node.js/EShop; một nghiên cứu (PolyTest) báo mutation score của Pynguin thấp so với LLM.</t>
  </si>
  <si>
    <t xml:space="preserve">https://pynguin.readthedocs.io/stable/api.html</t>
  </si>
  <si>
    <t xml:space="preserve">Chỉ Java/JVM (IntelliJ plugin, CLI)</t>
  </si>
  <si>
    <t xml:space="preserve">Community miễn phí 25 method/tháng; Developer 100 method/tháng; Testing Agent từ 1.500 USD cho 5.000 dòng coverage</t>
  </si>
  <si>
    <t xml:space="preserve">Sản phẩm thương mại; forum cộng đồng</t>
  </si>
  <si>
    <t xml:space="preserve">Reinforcement learning sinh JUnit test biên dịch và chạy được (không phải LLM).</t>
  </si>
  <si>
    <t xml:space="preserve">Test mô tả hành vi hiện tại của code, không phải ý định lập trình viên -&gt; nguy cơ khóa cả bug; Community cần internet để check license.</t>
  </si>
  <si>
    <t xml:space="preserve">https://cover-docs.diffblue.com/updates-and-upgrades/cover-editions</t>
  </si>
  <si>
    <t xml:space="preserve">Kotlin (triển khai nội bộ Meta)</t>
  </si>
  <si>
    <t xml:space="preserve">Không có bản công khai</t>
  </si>
  <si>
    <t xml:space="preserve">FSE 2025 industry paper</t>
  </si>
  <si>
    <t xml:space="preserve">LLM sinh mutant theo mô tả văn bản và sinh test kill chúng; agent phát hiện equivalent mutant.</t>
  </si>
  <si>
    <t xml:space="preserve">Không thể dùng cho EShop; chỉ để tham khảo số liệu.</t>
  </si>
  <si>
    <t xml:space="preserve">https://arxiv.org/pdf/2501.12862</t>
  </si>
  <si>
    <t xml:space="preserve">Nghiên cứu</t>
  </si>
  <si>
    <t xml:space="preserve">Nội dung</t>
  </si>
  <si>
    <t xml:space="preserve">Số liệu chính</t>
  </si>
  <si>
    <t xml:space="preserve">Mức xác minh</t>
  </si>
  <si>
    <t xml:space="preserve">Nguồn</t>
  </si>
  <si>
    <t xml:space="preserve">Meta ACH (FSE 2025)</t>
  </si>
  <si>
    <t xml:space="preserve">Sinh mutant + test bằng LLM; agent phát hiện equivalent mutant</t>
  </si>
  <si>
    <t xml:space="preserve">10.795 class Kotlin, 9.095 mutant, 571 test; 73% test được chấp nhận, 36% liên quan privacy; equivalent detector precision 0,79 / recall 0,47 (0,95 / 0,96 khi tiền xử lý)</t>
  </si>
  <si>
    <t xml:space="preserve">Paper gốc</t>
  </si>
  <si>
    <t xml:space="preserve">LLMs for Equivalent Mutant Detection (ISSTA 2024)</t>
  </si>
  <si>
    <t xml:space="preserve">So sánh LLM với các kỹ thuật EMD hiện có trên 3.302 cặp mutant Java</t>
  </si>
  <si>
    <t xml:space="preserve">LLM hơn trung bình 35,69% F1; fine-tune code embedding tốt nhất; chỉ dùng prompt thì không bằng</t>
  </si>
  <si>
    <t xml:space="preserve">https://arxiv.org/abs/2408.01760</t>
  </si>
  <si>
    <t xml:space="preserve">LLMs for Multi-Lingual EMD (mở rộng, 2026)</t>
  </si>
  <si>
    <t xml:space="preserve">Mở rộng sang Java + C, 13 LLM</t>
  </si>
  <si>
    <t xml:space="preserve">3.302 cặp Java + 1.088 cặp C; LLM đạt F1 cao hơn phương pháp truyền thống được so sánh</t>
  </si>
  <si>
    <t xml:space="preserve">https://arxiv.org/abs/2607.00511</t>
  </si>
  <si>
    <t xml:space="preserve">MutGen</t>
  </si>
  <si>
    <t xml:space="preserve">Sinh test bằng LLM dẫn hướng bởi mutation, nhắm tối đa hóa mutation score</t>
  </si>
  <si>
    <t xml:space="preserve">53% -&gt; 89,5% trên HumanEval-Java (theo bài thứ cấp của Augment Code)</t>
  </si>
  <si>
    <t xml:space="preserve">Con số lấy từ nguồn thứ cấp, chưa đối chiếu paper gốc</t>
  </si>
  <si>
    <t xml:space="preserve">https://arxiv.org/pdf/2506.02954v4</t>
  </si>
  <si>
    <t xml:space="preserve">MuTAP (Python)</t>
  </si>
  <si>
    <t xml:space="preserve">Nhắc lại LLM kèm test hiện có và mutant survived; có bước tối giản assertion</t>
  </si>
  <si>
    <t xml:space="preserve">-</t>
  </si>
  <si>
    <t xml:space="preserve">Bài báo (ScienceDirect)</t>
  </si>
  <si>
    <t xml:space="preserve">Test vs Mutant (adversarial agents, 2026)</t>
  </si>
  <si>
    <t xml:space="preserve">Agent đối kháng: sinh mutant và sinh test lặp lại</t>
  </si>
  <si>
    <t xml:space="preserve">Bỏ thông tin mutant / vòng lặp làm giảm coverage 12,08-30,75% và fault detection 25,93-50,00%</t>
  </si>
  <si>
    <t xml:space="preserve">Paper gốc (arXiv)</t>
  </si>
  <si>
    <t xml:space="preserve">https://arxiv.org/html/2602.08146v1</t>
  </si>
  <si>
    <t xml:space="preserve">#</t>
  </si>
  <si>
    <t xml:space="preserve">Tên nguồn</t>
  </si>
  <si>
    <t xml:space="preserve">URL</t>
  </si>
  <si>
    <t xml:space="preserve">Stryker mutator - Introduction</t>
  </si>
  <si>
    <t xml:space="preserve">https://stryker-mutator.io/docs/stryker-js/introduction/</t>
  </si>
  <si>
    <t xml:space="preserve">Tài liệu chính thức</t>
  </si>
  <si>
    <t xml:space="preserve">Meta - Mutation-Guided LLM-based Test Generation at Meta (arXiv)</t>
  </si>
  <si>
    <t xml:space="preserve">Paper</t>
  </si>
  <si>
    <t xml:space="preserve">Meta - ACM DL</t>
  </si>
  <si>
    <t xml:space="preserve">https://dl.acm.org/doi/10.1145/3696630.3728544</t>
  </si>
  <si>
    <t xml:space="preserve">Engineering at Meta - LLMs Are the Key to Mutation Testing</t>
  </si>
  <si>
    <t xml:space="preserve">https://engineering.fb.com/2025/09/30/security/llms-are-the-key-to-mutation-testing-and-better-compliance/</t>
  </si>
  <si>
    <t xml:space="preserve">Blog chính thức</t>
  </si>
  <si>
    <t xml:space="preserve">LLMorpheus - GitHub (archived)</t>
  </si>
  <si>
    <t xml:space="preserve">Repo chính thức</t>
  </si>
  <si>
    <t xml:space="preserve">Mutahunter - GitHub</t>
  </si>
  <si>
    <t xml:space="preserve">Mutahunter - PyPI</t>
  </si>
  <si>
    <t xml:space="preserve">https://pypi.org/project/mutahunter/1.3.1/</t>
  </si>
  <si>
    <t xml:space="preserve">Trang gói</t>
  </si>
  <si>
    <t xml:space="preserve">stryker-llm-mutator - GitHub</t>
  </si>
  <si>
    <t xml:space="preserve">Repo bên thứ ba</t>
  </si>
  <si>
    <t xml:space="preserve">stryker-mcp-reporter - Glama</t>
  </si>
  <si>
    <t xml:space="preserve">Listing bên thứ ba</t>
  </si>
  <si>
    <t xml:space="preserve">Test Double - Keep your coding agent on task with mutation testing</t>
  </si>
  <si>
    <t xml:space="preserve">Blog</t>
  </si>
  <si>
    <t xml:space="preserve">alexop.dev - Mutation Testing with AI Agents</t>
  </si>
  <si>
    <t xml:space="preserve">https://alexop.dev/posts/mutation-testing-ai-agents-vitest-browser-mode/</t>
  </si>
  <si>
    <t xml:space="preserve">Pynguin - API reference</t>
  </si>
  <si>
    <t xml:space="preserve">Pynguin - Test Generation Overview</t>
  </si>
  <si>
    <t xml:space="preserve">https://pynguin.readthedocs.io/latest/dev/overview.html</t>
  </si>
  <si>
    <t xml:space="preserve">Pynguin - CHANGELOG</t>
  </si>
  <si>
    <t xml:space="preserve">https://github.com/se2p/pynguin/blob/main/CHANGELOG.md</t>
  </si>
  <si>
    <t xml:space="preserve">Diffblue - Pricing</t>
  </si>
  <si>
    <t xml:space="preserve">https://www.diffblue.com/pricing/</t>
  </si>
  <si>
    <t xml:space="preserve">Trang chính thức</t>
  </si>
  <si>
    <t xml:space="preserve">Diffblue - Cover Editions</t>
  </si>
  <si>
    <t xml:space="preserve">MuTAP - ScienceDirect</t>
  </si>
  <si>
    <t xml:space="preserve">MutGen - arXiv 2506.02954</t>
  </si>
  <si>
    <t xml:space="preserve">Test vs Mutant - arXiv 2602.08146</t>
  </si>
  <si>
    <t xml:space="preserve">LLMs for Equivalent Mutant Detection - arXiv 2408.01760</t>
  </si>
  <si>
    <t xml:space="preserve">LLMs for Multi-Lingual EMD - arXiv 2607.00511</t>
  </si>
  <si>
    <t xml:space="preserve">Augment Code - Mutation Testing for AI-Generated Code</t>
  </si>
  <si>
    <t xml:space="preserve">https://www.augmentcode.com/guides/mutation-testing-ai-generated-code</t>
  </si>
  <si>
    <t xml:space="preserve">Blog thứ cấp</t>
  </si>
  <si>
    <t xml:space="preserve">EShop SUT - GitHub</t>
  </si>
  <si>
    <t xml:space="preserve">https://github.com/ttbhanh/eshop-sut</t>
  </si>
  <si>
    <t xml:space="preserve">Repo môn học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</si>
</sst>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tryker-mutator.io/docs/stryker-js/introduction/" TargetMode="External"/><Relationship Id="rId2" Type="http://schemas.openxmlformats.org/officeDocument/2006/relationships/hyperlink" Target="https://arxiv.org/pdf/2501.12862" TargetMode="External"/><Relationship Id="rId3" Type="http://schemas.openxmlformats.org/officeDocument/2006/relationships/hyperlink" Target="https://dl.acm.org/doi/10.1145/3696630.3728544" TargetMode="External"/><Relationship Id="rId4" Type="http://schemas.openxmlformats.org/officeDocument/2006/relationships/hyperlink" Target="https://engineering.fb.com/2025/09/30/security/llms-are-the-key-to-mutation-testing-and-better-compliance/" TargetMode="External"/><Relationship Id="rId5" Type="http://schemas.openxmlformats.org/officeDocument/2006/relationships/hyperlink" Target="https://github.com/githubnext/llmorpheus" TargetMode="External"/><Relationship Id="rId6" Type="http://schemas.openxmlformats.org/officeDocument/2006/relationships/hyperlink" Target="https://github.com/codeintegrity-ai/mutahunter" TargetMode="External"/><Relationship Id="rId7" Type="http://schemas.openxmlformats.org/officeDocument/2006/relationships/hyperlink" Target="https://pypi.org/project/mutahunter/1.3.1/" TargetMode="External"/><Relationship Id="rId8" Type="http://schemas.openxmlformats.org/officeDocument/2006/relationships/hyperlink" Target="https://github.com/hughescr/stryker-llm-mutator" TargetMode="External"/><Relationship Id="rId9" Type="http://schemas.openxmlformats.org/officeDocument/2006/relationships/hyperlink" Target="https://glama.ai/mcp/servers/kluth/stryker-mcp-reporter" TargetMode="External"/><Relationship Id="rId10" Type="http://schemas.openxmlformats.org/officeDocument/2006/relationships/hyperlink" Target="https://testdouble.com/insights/keep-your-coding-agent-on-task-with-mutation-testing" TargetMode="External"/><Relationship Id="rId11" Type="http://schemas.openxmlformats.org/officeDocument/2006/relationships/hyperlink" Target="https://alexop.dev/posts/mutation-testing-ai-agents-vitest-browser-mode/" TargetMode="External"/><Relationship Id="rId12" Type="http://schemas.openxmlformats.org/officeDocument/2006/relationships/hyperlink" Target="https://pynguin.readthedocs.io/stable/api.html" TargetMode="External"/><Relationship Id="rId13" Type="http://schemas.openxmlformats.org/officeDocument/2006/relationships/hyperlink" Target="https://pynguin.readthedocs.io/latest/dev/overview.html" TargetMode="External"/><Relationship Id="rId14" Type="http://schemas.openxmlformats.org/officeDocument/2006/relationships/hyperlink" Target="https://github.com/se2p/pynguin/blob/main/CHANGELOG.md" TargetMode="External"/><Relationship Id="rId15" Type="http://schemas.openxmlformats.org/officeDocument/2006/relationships/hyperlink" Target="https://www.diffblue.com/pricing/" TargetMode="External"/><Relationship Id="rId16" Type="http://schemas.openxmlformats.org/officeDocument/2006/relationships/hyperlink" Target="https://cover-docs.diffblue.com/updates-and-upgrades/cover-editions" TargetMode="External"/><Relationship Id="rId17" Type="http://schemas.openxmlformats.org/officeDocument/2006/relationships/hyperlink" Target="https://www.sciencedirect.com/science/article/abs/pii/S0950584924000739" TargetMode="External"/><Relationship Id="rId18" Type="http://schemas.openxmlformats.org/officeDocument/2006/relationships/hyperlink" Target="https://arxiv.org/pdf/2506.02954v4" TargetMode="External"/><Relationship Id="rId19" Type="http://schemas.openxmlformats.org/officeDocument/2006/relationships/hyperlink" Target="https://arxiv.org/html/2602.08146v1" TargetMode="External"/><Relationship Id="rId20" Type="http://schemas.openxmlformats.org/officeDocument/2006/relationships/hyperlink" Target="https://arxiv.org/abs/2408.01760" TargetMode="External"/><Relationship Id="rId21" Type="http://schemas.openxmlformats.org/officeDocument/2006/relationships/hyperlink" Target="https://arxiv.org/abs/2607.00511" TargetMode="External"/><Relationship Id="rId22" Type="http://schemas.openxmlformats.org/officeDocument/2006/relationships/hyperlink" Target="https://www.augmentcode.com/guides/mutation-testing-ai-generated-code" TargetMode="External"/><Relationship Id="rId23" Type="http://schemas.openxmlformats.org/officeDocument/2006/relationships/hyperlink" Target="https://github.com/ttbhanh/eshop-su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8" min="4" style="0" width="11"/>
    <col collapsed="false" customWidth="true" hidden="false" outlineLevel="0" max="9" min="9" style="0" width="10"/>
    <col collapsed="false" customWidth="true" hidden="false" outlineLevel="0" max="10" min="10" style="0" width="62"/>
  </cols>
  <sheetData>
    <row r="1" customFormat="false" ht="16.1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3.5" hidden="false" customHeight="true" outlineLevel="0" collapsed="false">
      <c r="A5" s="4" t="n">
        <f aca="false">SUMPRODUCT(($I$5:$I$13&gt;I5)+($I$5:$I$13=I5)*($F$5:$F$13&gt;F5))+1</f>
        <v>1</v>
      </c>
      <c r="B5" s="5" t="s">
        <v>12</v>
      </c>
      <c r="C5" s="6" t="s">
        <v>13</v>
      </c>
      <c r="D5" s="7" t="n">
        <v>5</v>
      </c>
      <c r="E5" s="7" t="n">
        <v>5</v>
      </c>
      <c r="F5" s="7" t="n">
        <v>5</v>
      </c>
      <c r="G5" s="7" t="n">
        <v>3</v>
      </c>
      <c r="H5" s="7" t="n">
        <v>5</v>
      </c>
      <c r="I5" s="4" t="n">
        <f aca="false">SUM(D5:H5)</f>
        <v>23</v>
      </c>
      <c r="J5" s="6" t="s">
        <v>14</v>
      </c>
    </row>
    <row r="6" customFormat="false" ht="43.5" hidden="false" customHeight="true" outlineLevel="0" collapsed="false">
      <c r="A6" s="4" t="n">
        <f aca="false">SUMPRODUCT(($I$5:$I$13&gt;I6)+($I$5:$I$13=I6)*($F$5:$F$13&gt;F6))+1</f>
        <v>2</v>
      </c>
      <c r="B6" s="5" t="s">
        <v>15</v>
      </c>
      <c r="C6" s="6" t="s">
        <v>16</v>
      </c>
      <c r="D6" s="7" t="n">
        <v>3</v>
      </c>
      <c r="E6" s="7" t="n">
        <v>4</v>
      </c>
      <c r="F6" s="7" t="n">
        <v>5</v>
      </c>
      <c r="G6" s="7" t="n">
        <v>4</v>
      </c>
      <c r="H6" s="7" t="n">
        <v>4</v>
      </c>
      <c r="I6" s="4" t="n">
        <f aca="false">SUM(D6:H6)</f>
        <v>20</v>
      </c>
      <c r="J6" s="6" t="s">
        <v>17</v>
      </c>
    </row>
    <row r="7" customFormat="false" ht="43.5" hidden="false" customHeight="true" outlineLevel="0" collapsed="false">
      <c r="A7" s="4" t="n">
        <f aca="false">SUMPRODUCT(($I$5:$I$13&gt;I7)+($I$5:$I$13=I7)*($F$5:$F$13&gt;F7))+1</f>
        <v>3</v>
      </c>
      <c r="B7" s="5" t="s">
        <v>18</v>
      </c>
      <c r="C7" s="6" t="s">
        <v>19</v>
      </c>
      <c r="D7" s="7" t="n">
        <v>4</v>
      </c>
      <c r="E7" s="7" t="n">
        <v>3</v>
      </c>
      <c r="F7" s="7" t="n">
        <v>5</v>
      </c>
      <c r="G7" s="7" t="n">
        <v>4</v>
      </c>
      <c r="H7" s="7" t="n">
        <v>1</v>
      </c>
      <c r="I7" s="4" t="n">
        <f aca="false">SUM(D7:H7)</f>
        <v>17</v>
      </c>
      <c r="J7" s="6" t="s">
        <v>20</v>
      </c>
    </row>
    <row r="8" customFormat="false" ht="43.5" hidden="false" customHeight="true" outlineLevel="0" collapsed="false">
      <c r="A8" s="4" t="n">
        <f aca="false">SUMPRODUCT(($I$5:$I$13&gt;I8)+($I$5:$I$13=I8)*($F$5:$F$13&gt;F8))+1</f>
        <v>4</v>
      </c>
      <c r="B8" s="5" t="s">
        <v>21</v>
      </c>
      <c r="C8" s="6" t="s">
        <v>22</v>
      </c>
      <c r="D8" s="7" t="n">
        <v>4</v>
      </c>
      <c r="E8" s="7" t="n">
        <v>3</v>
      </c>
      <c r="F8" s="7" t="n">
        <v>5</v>
      </c>
      <c r="G8" s="7" t="n">
        <v>3</v>
      </c>
      <c r="H8" s="7" t="n">
        <v>1</v>
      </c>
      <c r="I8" s="4" t="n">
        <f aca="false">SUM(D8:H8)</f>
        <v>16</v>
      </c>
      <c r="J8" s="6" t="s">
        <v>23</v>
      </c>
    </row>
    <row r="9" customFormat="false" ht="43.5" hidden="false" customHeight="true" outlineLevel="0" collapsed="false">
      <c r="A9" s="4" t="n">
        <f aca="false">SUMPRODUCT(($I$5:$I$13&gt;I9)+($I$5:$I$13=I9)*($F$5:$F$13&gt;F9))+1</f>
        <v>5</v>
      </c>
      <c r="B9" s="5" t="s">
        <v>24</v>
      </c>
      <c r="C9" s="6" t="s">
        <v>25</v>
      </c>
      <c r="D9" s="7" t="n">
        <v>3</v>
      </c>
      <c r="E9" s="7" t="n">
        <v>3</v>
      </c>
      <c r="F9" s="7" t="n">
        <v>3</v>
      </c>
      <c r="G9" s="7" t="n">
        <v>4</v>
      </c>
      <c r="H9" s="7" t="n">
        <v>3</v>
      </c>
      <c r="I9" s="4" t="n">
        <f aca="false">SUM(D9:H9)</f>
        <v>16</v>
      </c>
      <c r="J9" s="6" t="s">
        <v>26</v>
      </c>
    </row>
    <row r="10" customFormat="false" ht="43.5" hidden="false" customHeight="true" outlineLevel="0" collapsed="false">
      <c r="A10" s="4" t="n">
        <f aca="false">SUMPRODUCT(($I$5:$I$13&gt;I10)+($I$5:$I$13=I10)*($F$5:$F$13&gt;F10))+1</f>
        <v>6</v>
      </c>
      <c r="B10" s="5" t="s">
        <v>27</v>
      </c>
      <c r="C10" s="6" t="s">
        <v>28</v>
      </c>
      <c r="D10" s="7" t="n">
        <v>3</v>
      </c>
      <c r="E10" s="7" t="n">
        <v>2</v>
      </c>
      <c r="F10" s="7" t="n">
        <v>4</v>
      </c>
      <c r="G10" s="7" t="n">
        <v>4</v>
      </c>
      <c r="H10" s="7" t="n">
        <v>2</v>
      </c>
      <c r="I10" s="4" t="n">
        <f aca="false">SUM(D10:H10)</f>
        <v>15</v>
      </c>
      <c r="J10" s="6" t="s">
        <v>29</v>
      </c>
    </row>
    <row r="11" customFormat="false" ht="43.5" hidden="false" customHeight="true" outlineLevel="0" collapsed="false">
      <c r="A11" s="4" t="n">
        <f aca="false">SUMPRODUCT(($I$5:$I$13&gt;I11)+($I$5:$I$13=I11)*($F$5:$F$13&gt;F11))+1</f>
        <v>7</v>
      </c>
      <c r="B11" s="5" t="s">
        <v>30</v>
      </c>
      <c r="C11" s="6" t="s">
        <v>31</v>
      </c>
      <c r="D11" s="7" t="n">
        <v>5</v>
      </c>
      <c r="E11" s="7" t="n">
        <v>3</v>
      </c>
      <c r="F11" s="7" t="n">
        <v>1</v>
      </c>
      <c r="G11" s="7" t="n">
        <v>3</v>
      </c>
      <c r="H11" s="7" t="n">
        <v>3</v>
      </c>
      <c r="I11" s="4" t="n">
        <f aca="false">SUM(D11:H11)</f>
        <v>15</v>
      </c>
      <c r="J11" s="6" t="s">
        <v>32</v>
      </c>
    </row>
    <row r="12" customFormat="false" ht="43.5" hidden="false" customHeight="true" outlineLevel="0" collapsed="false">
      <c r="A12" s="4" t="n">
        <f aca="false">SUMPRODUCT(($I$5:$I$13&gt;I12)+($I$5:$I$13=I12)*($F$5:$F$13&gt;F12))+1</f>
        <v>8</v>
      </c>
      <c r="B12" s="5" t="s">
        <v>33</v>
      </c>
      <c r="C12" s="6" t="s">
        <v>34</v>
      </c>
      <c r="D12" s="7" t="n">
        <v>3</v>
      </c>
      <c r="E12" s="7" t="n">
        <v>3</v>
      </c>
      <c r="F12" s="7" t="n">
        <v>1</v>
      </c>
      <c r="G12" s="7" t="n">
        <v>4</v>
      </c>
      <c r="H12" s="7" t="n">
        <v>3</v>
      </c>
      <c r="I12" s="4" t="n">
        <f aca="false">SUM(D12:H12)</f>
        <v>14</v>
      </c>
      <c r="J12" s="6" t="s">
        <v>35</v>
      </c>
    </row>
    <row r="13" customFormat="false" ht="43.5" hidden="false" customHeight="true" outlineLevel="0" collapsed="false">
      <c r="A13" s="4" t="n">
        <f aca="false">SUMPRODUCT(($I$5:$I$13&gt;I13)+($I$5:$I$13=I13)*($F$5:$F$13&gt;F13))+1</f>
        <v>9</v>
      </c>
      <c r="B13" s="5" t="s">
        <v>36</v>
      </c>
      <c r="C13" s="6" t="s">
        <v>37</v>
      </c>
      <c r="D13" s="7" t="n">
        <v>1</v>
      </c>
      <c r="E13" s="7" t="n">
        <v>1</v>
      </c>
      <c r="F13" s="7" t="n">
        <v>1</v>
      </c>
      <c r="G13" s="7" t="n">
        <v>5</v>
      </c>
      <c r="H13" s="7" t="n">
        <v>1</v>
      </c>
      <c r="I13" s="4" t="n">
        <f aca="false">SUM(D13:H13)</f>
        <v>9</v>
      </c>
      <c r="J13" s="6" t="s">
        <v>38</v>
      </c>
    </row>
    <row r="15" customFormat="false" ht="15" hidden="false" customHeight="false" outlineLevel="0" collapsed="false">
      <c r="B15" s="8" t="s">
        <v>39</v>
      </c>
    </row>
    <row r="16" customFormat="false" ht="30" hidden="false" customHeight="true" outlineLevel="0" collapsed="false">
      <c r="B16" s="9" t="s">
        <v>40</v>
      </c>
      <c r="C16" s="9"/>
      <c r="D16" s="9"/>
      <c r="E16" s="9"/>
      <c r="F16" s="9"/>
      <c r="G16" s="9"/>
      <c r="H16" s="9"/>
      <c r="I16" s="9"/>
      <c r="J16" s="9"/>
    </row>
    <row r="17" customFormat="false" ht="30" hidden="false" customHeight="true" outlineLevel="0" collapsed="false">
      <c r="B17" s="9" t="s">
        <v>41</v>
      </c>
      <c r="C17" s="9"/>
      <c r="D17" s="9"/>
      <c r="E17" s="9"/>
      <c r="F17" s="9"/>
      <c r="G17" s="9"/>
      <c r="H17" s="9"/>
      <c r="I17" s="9"/>
      <c r="J17" s="9"/>
    </row>
    <row r="18" customFormat="false" ht="30" hidden="false" customHeight="true" outlineLevel="0" collapsed="false">
      <c r="B18" s="9" t="s">
        <v>42</v>
      </c>
      <c r="C18" s="9"/>
      <c r="D18" s="9"/>
      <c r="E18" s="9"/>
      <c r="F18" s="9"/>
      <c r="G18" s="9"/>
      <c r="H18" s="9"/>
      <c r="I18" s="9"/>
      <c r="J18" s="9"/>
    </row>
  </sheetData>
  <mergeCells count="4">
    <mergeCell ref="A2:J2"/>
    <mergeCell ref="B16:J16"/>
    <mergeCell ref="B17:J17"/>
    <mergeCell ref="B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34"/>
    <col collapsed="false" customWidth="true" hidden="false" outlineLevel="0" max="6" min="5" style="0" width="50"/>
    <col collapsed="false" customWidth="true" hidden="false" outlineLevel="0" max="7" min="7" style="0" width="46"/>
  </cols>
  <sheetData>
    <row r="1" customFormat="false" ht="30" hidden="false" customHeight="true" outlineLevel="0" collapsed="false">
      <c r="A1" s="3" t="s">
        <v>3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</row>
    <row r="2" customFormat="false" ht="105" hidden="false" customHeight="true" outlineLevel="0" collapsed="false">
      <c r="A2" s="5" t="s">
        <v>49</v>
      </c>
      <c r="B2" s="6" t="s">
        <v>50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</row>
    <row r="3" customFormat="false" ht="105" hidden="false" customHeight="true" outlineLevel="0" collapsed="false">
      <c r="A3" s="5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  <c r="G3" s="6" t="s">
        <v>62</v>
      </c>
    </row>
    <row r="4" customFormat="false" ht="105" hidden="false" customHeight="true" outlineLevel="0" collapsed="false">
      <c r="A4" s="5" t="s">
        <v>18</v>
      </c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</row>
    <row r="5" customFormat="false" ht="105" hidden="false" customHeight="true" outlineLevel="0" collapsed="false">
      <c r="A5" s="5" t="s">
        <v>21</v>
      </c>
      <c r="B5" s="6" t="s">
        <v>63</v>
      </c>
      <c r="C5" s="6" t="s">
        <v>69</v>
      </c>
      <c r="D5" s="6" t="s">
        <v>70</v>
      </c>
      <c r="E5" s="6" t="s">
        <v>71</v>
      </c>
      <c r="F5" s="6" t="s">
        <v>72</v>
      </c>
      <c r="G5" s="6" t="s">
        <v>73</v>
      </c>
    </row>
    <row r="6" customFormat="false" ht="105" hidden="false" customHeight="true" outlineLevel="0" collapsed="false">
      <c r="A6" s="5" t="s">
        <v>24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78</v>
      </c>
      <c r="G6" s="6" t="s">
        <v>79</v>
      </c>
    </row>
    <row r="7" customFormat="false" ht="105" hidden="false" customHeight="true" outlineLevel="0" collapsed="false">
      <c r="A7" s="5" t="s">
        <v>27</v>
      </c>
      <c r="B7" s="6" t="s">
        <v>80</v>
      </c>
      <c r="C7" s="6" t="s">
        <v>81</v>
      </c>
      <c r="D7" s="6" t="s">
        <v>82</v>
      </c>
      <c r="E7" s="6" t="s">
        <v>83</v>
      </c>
      <c r="F7" s="6" t="s">
        <v>84</v>
      </c>
      <c r="G7" s="6" t="s">
        <v>85</v>
      </c>
    </row>
    <row r="8" customFormat="false" ht="105" hidden="false" customHeight="true" outlineLevel="0" collapsed="false">
      <c r="A8" s="5" t="s">
        <v>30</v>
      </c>
      <c r="B8" s="6" t="s">
        <v>86</v>
      </c>
      <c r="C8" s="6" t="s">
        <v>64</v>
      </c>
      <c r="D8" s="6" t="s">
        <v>87</v>
      </c>
      <c r="E8" s="6" t="s">
        <v>88</v>
      </c>
      <c r="F8" s="6" t="s">
        <v>89</v>
      </c>
      <c r="G8" s="6" t="s">
        <v>90</v>
      </c>
    </row>
    <row r="9" customFormat="false" ht="105" hidden="false" customHeight="true" outlineLevel="0" collapsed="false">
      <c r="A9" s="5" t="s">
        <v>33</v>
      </c>
      <c r="B9" s="6" t="s">
        <v>91</v>
      </c>
      <c r="C9" s="6" t="s">
        <v>92</v>
      </c>
      <c r="D9" s="6" t="s">
        <v>93</v>
      </c>
      <c r="E9" s="6" t="s">
        <v>94</v>
      </c>
      <c r="F9" s="6" t="s">
        <v>95</v>
      </c>
      <c r="G9" s="6" t="s">
        <v>96</v>
      </c>
    </row>
    <row r="10" customFormat="false" ht="105" hidden="false" customHeight="true" outlineLevel="0" collapsed="false">
      <c r="A10" s="5" t="s">
        <v>36</v>
      </c>
      <c r="B10" s="6" t="s">
        <v>97</v>
      </c>
      <c r="C10" s="6" t="s">
        <v>98</v>
      </c>
      <c r="D10" s="6" t="s">
        <v>99</v>
      </c>
      <c r="E10" s="6" t="s">
        <v>100</v>
      </c>
      <c r="F10" s="6" t="s">
        <v>101</v>
      </c>
      <c r="G10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58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107</v>
      </c>
    </row>
    <row r="2" customFormat="false" ht="75" hidden="false" customHeight="true" outlineLevel="0" collapsed="false">
      <c r="A2" s="5" t="s">
        <v>108</v>
      </c>
      <c r="B2" s="6" t="s">
        <v>109</v>
      </c>
      <c r="C2" s="6" t="s">
        <v>110</v>
      </c>
      <c r="D2" s="6" t="s">
        <v>111</v>
      </c>
      <c r="E2" s="6" t="s">
        <v>102</v>
      </c>
    </row>
    <row r="3" customFormat="false" ht="75" hidden="false" customHeight="true" outlineLevel="0" collapsed="false">
      <c r="A3" s="5" t="s">
        <v>112</v>
      </c>
      <c r="B3" s="6" t="s">
        <v>113</v>
      </c>
      <c r="C3" s="6" t="s">
        <v>114</v>
      </c>
      <c r="D3" s="6" t="s">
        <v>111</v>
      </c>
      <c r="E3" s="6" t="s">
        <v>115</v>
      </c>
    </row>
    <row r="4" customFormat="false" ht="75" hidden="false" customHeight="true" outlineLevel="0" collapsed="false">
      <c r="A4" s="5" t="s">
        <v>116</v>
      </c>
      <c r="B4" s="6" t="s">
        <v>117</v>
      </c>
      <c r="C4" s="6" t="s">
        <v>118</v>
      </c>
      <c r="D4" s="6" t="s">
        <v>111</v>
      </c>
      <c r="E4" s="6" t="s">
        <v>119</v>
      </c>
    </row>
    <row r="5" customFormat="false" ht="75" hidden="false" customHeight="true" outlineLevel="0" collapsed="false">
      <c r="A5" s="5" t="s">
        <v>120</v>
      </c>
      <c r="B5" s="6" t="s">
        <v>121</v>
      </c>
      <c r="C5" s="6" t="s">
        <v>122</v>
      </c>
      <c r="D5" s="6" t="s">
        <v>123</v>
      </c>
      <c r="E5" s="6" t="s">
        <v>124</v>
      </c>
    </row>
    <row r="6" customFormat="false" ht="75" hidden="false" customHeight="true" outlineLevel="0" collapsed="false">
      <c r="A6" s="5" t="s">
        <v>125</v>
      </c>
      <c r="B6" s="6" t="s">
        <v>126</v>
      </c>
      <c r="C6" s="6" t="s">
        <v>127</v>
      </c>
      <c r="D6" s="6" t="s">
        <v>128</v>
      </c>
      <c r="E6" s="6" t="s">
        <v>55</v>
      </c>
    </row>
    <row r="7" customFormat="false" ht="75" hidden="false" customHeight="true" outlineLevel="0" collapsed="false">
      <c r="A7" s="5" t="s">
        <v>129</v>
      </c>
      <c r="B7" s="6" t="s">
        <v>130</v>
      </c>
      <c r="C7" s="6" t="s">
        <v>131</v>
      </c>
      <c r="D7" s="6" t="s">
        <v>132</v>
      </c>
      <c r="E7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8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134</v>
      </c>
      <c r="B1" s="3" t="s">
        <v>135</v>
      </c>
      <c r="C1" s="3" t="s">
        <v>136</v>
      </c>
      <c r="D1" s="3" t="s">
        <v>4</v>
      </c>
    </row>
    <row r="2" customFormat="false" ht="15" hidden="false" customHeight="false" outlineLevel="0" collapsed="false">
      <c r="A2" s="6" t="n">
        <v>1</v>
      </c>
      <c r="B2" s="6" t="s">
        <v>137</v>
      </c>
      <c r="C2" s="10" t="s">
        <v>138</v>
      </c>
      <c r="D2" s="6" t="s">
        <v>139</v>
      </c>
    </row>
    <row r="3" customFormat="false" ht="15" hidden="false" customHeight="false" outlineLevel="0" collapsed="false">
      <c r="A3" s="6" t="n">
        <v>2</v>
      </c>
      <c r="B3" s="6" t="s">
        <v>140</v>
      </c>
      <c r="C3" s="10" t="s">
        <v>102</v>
      </c>
      <c r="D3" s="6" t="s">
        <v>141</v>
      </c>
    </row>
    <row r="4" customFormat="false" ht="15" hidden="false" customHeight="false" outlineLevel="0" collapsed="false">
      <c r="A4" s="6" t="n">
        <v>3</v>
      </c>
      <c r="B4" s="6" t="s">
        <v>142</v>
      </c>
      <c r="C4" s="10" t="s">
        <v>143</v>
      </c>
      <c r="D4" s="6" t="s">
        <v>141</v>
      </c>
    </row>
    <row r="5" customFormat="false" ht="15" hidden="false" customHeight="false" outlineLevel="0" collapsed="false">
      <c r="A5" s="6" t="n">
        <v>4</v>
      </c>
      <c r="B5" s="6" t="s">
        <v>144</v>
      </c>
      <c r="C5" s="10" t="s">
        <v>145</v>
      </c>
      <c r="D5" s="6" t="s">
        <v>146</v>
      </c>
    </row>
    <row r="6" customFormat="false" ht="15" hidden="false" customHeight="false" outlineLevel="0" collapsed="false">
      <c r="A6" s="6" t="n">
        <v>5</v>
      </c>
      <c r="B6" s="6" t="s">
        <v>147</v>
      </c>
      <c r="C6" s="10" t="s">
        <v>85</v>
      </c>
      <c r="D6" s="6" t="s">
        <v>148</v>
      </c>
    </row>
    <row r="7" customFormat="false" ht="15" hidden="false" customHeight="false" outlineLevel="0" collapsed="false">
      <c r="A7" s="6" t="n">
        <v>6</v>
      </c>
      <c r="B7" s="6" t="s">
        <v>149</v>
      </c>
      <c r="C7" s="10" t="s">
        <v>79</v>
      </c>
      <c r="D7" s="6" t="s">
        <v>148</v>
      </c>
    </row>
    <row r="8" customFormat="false" ht="15" hidden="false" customHeight="false" outlineLevel="0" collapsed="false">
      <c r="A8" s="6" t="n">
        <v>7</v>
      </c>
      <c r="B8" s="6" t="s">
        <v>150</v>
      </c>
      <c r="C8" s="10" t="s">
        <v>151</v>
      </c>
      <c r="D8" s="6" t="s">
        <v>152</v>
      </c>
    </row>
    <row r="9" customFormat="false" ht="15" hidden="false" customHeight="false" outlineLevel="0" collapsed="false">
      <c r="A9" s="6" t="n">
        <v>8</v>
      </c>
      <c r="B9" s="6" t="s">
        <v>153</v>
      </c>
      <c r="C9" s="10" t="s">
        <v>73</v>
      </c>
      <c r="D9" s="6" t="s">
        <v>154</v>
      </c>
    </row>
    <row r="10" customFormat="false" ht="15" hidden="false" customHeight="false" outlineLevel="0" collapsed="false">
      <c r="A10" s="6" t="n">
        <v>9</v>
      </c>
      <c r="B10" s="6" t="s">
        <v>155</v>
      </c>
      <c r="C10" s="10" t="s">
        <v>68</v>
      </c>
      <c r="D10" s="6" t="s">
        <v>156</v>
      </c>
    </row>
    <row r="11" customFormat="false" ht="15" hidden="false" customHeight="false" outlineLevel="0" collapsed="false">
      <c r="A11" s="6" t="n">
        <v>10</v>
      </c>
      <c r="B11" s="6" t="s">
        <v>157</v>
      </c>
      <c r="C11" s="10" t="s">
        <v>62</v>
      </c>
      <c r="D11" s="6" t="s">
        <v>158</v>
      </c>
    </row>
    <row r="12" customFormat="false" ht="15" hidden="false" customHeight="false" outlineLevel="0" collapsed="false">
      <c r="A12" s="6" t="n">
        <v>11</v>
      </c>
      <c r="B12" s="6" t="s">
        <v>159</v>
      </c>
      <c r="C12" s="10" t="s">
        <v>160</v>
      </c>
      <c r="D12" s="6" t="s">
        <v>158</v>
      </c>
    </row>
    <row r="13" customFormat="false" ht="15" hidden="false" customHeight="false" outlineLevel="0" collapsed="false">
      <c r="A13" s="6" t="n">
        <v>12</v>
      </c>
      <c r="B13" s="6" t="s">
        <v>161</v>
      </c>
      <c r="C13" s="10" t="s">
        <v>90</v>
      </c>
      <c r="D13" s="6" t="s">
        <v>139</v>
      </c>
    </row>
    <row r="14" customFormat="false" ht="15" hidden="false" customHeight="false" outlineLevel="0" collapsed="false">
      <c r="A14" s="6" t="n">
        <v>13</v>
      </c>
      <c r="B14" s="6" t="s">
        <v>162</v>
      </c>
      <c r="C14" s="10" t="s">
        <v>163</v>
      </c>
      <c r="D14" s="6" t="s">
        <v>139</v>
      </c>
    </row>
    <row r="15" customFormat="false" ht="15" hidden="false" customHeight="false" outlineLevel="0" collapsed="false">
      <c r="A15" s="6" t="n">
        <v>14</v>
      </c>
      <c r="B15" s="6" t="s">
        <v>164</v>
      </c>
      <c r="C15" s="10" t="s">
        <v>165</v>
      </c>
      <c r="D15" s="6" t="s">
        <v>148</v>
      </c>
    </row>
    <row r="16" customFormat="false" ht="15" hidden="false" customHeight="false" outlineLevel="0" collapsed="false">
      <c r="A16" s="6" t="n">
        <v>15</v>
      </c>
      <c r="B16" s="6" t="s">
        <v>166</v>
      </c>
      <c r="C16" s="10" t="s">
        <v>167</v>
      </c>
      <c r="D16" s="6" t="s">
        <v>168</v>
      </c>
    </row>
    <row r="17" customFormat="false" ht="15" hidden="false" customHeight="false" outlineLevel="0" collapsed="false">
      <c r="A17" s="6" t="n">
        <v>16</v>
      </c>
      <c r="B17" s="6" t="s">
        <v>169</v>
      </c>
      <c r="C17" s="10" t="s">
        <v>96</v>
      </c>
      <c r="D17" s="6" t="s">
        <v>139</v>
      </c>
    </row>
    <row r="18" customFormat="false" ht="15" hidden="false" customHeight="false" outlineLevel="0" collapsed="false">
      <c r="A18" s="6" t="n">
        <v>17</v>
      </c>
      <c r="B18" s="6" t="s">
        <v>170</v>
      </c>
      <c r="C18" s="10" t="s">
        <v>55</v>
      </c>
      <c r="D18" s="6" t="s">
        <v>141</v>
      </c>
    </row>
    <row r="19" customFormat="false" ht="15" hidden="false" customHeight="false" outlineLevel="0" collapsed="false">
      <c r="A19" s="6" t="n">
        <v>18</v>
      </c>
      <c r="B19" s="6" t="s">
        <v>171</v>
      </c>
      <c r="C19" s="10" t="s">
        <v>124</v>
      </c>
      <c r="D19" s="6" t="s">
        <v>141</v>
      </c>
    </row>
    <row r="20" customFormat="false" ht="15" hidden="false" customHeight="false" outlineLevel="0" collapsed="false">
      <c r="A20" s="6" t="n">
        <v>19</v>
      </c>
      <c r="B20" s="6" t="s">
        <v>172</v>
      </c>
      <c r="C20" s="10" t="s">
        <v>133</v>
      </c>
      <c r="D20" s="6" t="s">
        <v>141</v>
      </c>
    </row>
    <row r="21" customFormat="false" ht="15" hidden="false" customHeight="false" outlineLevel="0" collapsed="false">
      <c r="A21" s="6" t="n">
        <v>20</v>
      </c>
      <c r="B21" s="6" t="s">
        <v>173</v>
      </c>
      <c r="C21" s="10" t="s">
        <v>115</v>
      </c>
      <c r="D21" s="6" t="s">
        <v>141</v>
      </c>
    </row>
    <row r="22" customFormat="false" ht="15" hidden="false" customHeight="false" outlineLevel="0" collapsed="false">
      <c r="A22" s="6" t="n">
        <v>21</v>
      </c>
      <c r="B22" s="6" t="s">
        <v>174</v>
      </c>
      <c r="C22" s="10" t="s">
        <v>119</v>
      </c>
      <c r="D22" s="6" t="s">
        <v>141</v>
      </c>
    </row>
    <row r="23" customFormat="false" ht="15" hidden="false" customHeight="false" outlineLevel="0" collapsed="false">
      <c r="A23" s="6" t="n">
        <v>22</v>
      </c>
      <c r="B23" s="6" t="s">
        <v>175</v>
      </c>
      <c r="C23" s="10" t="s">
        <v>176</v>
      </c>
      <c r="D23" s="6" t="s">
        <v>177</v>
      </c>
    </row>
    <row r="24" customFormat="false" ht="15" hidden="false" customHeight="false" outlineLevel="0" collapsed="false">
      <c r="A24" s="6" t="n">
        <v>23</v>
      </c>
      <c r="B24" s="6" t="s">
        <v>178</v>
      </c>
      <c r="C24" s="10" t="s">
        <v>179</v>
      </c>
      <c r="D24" s="6" t="s">
        <v>180</v>
      </c>
    </row>
  </sheetData>
  <hyperlinks>
    <hyperlink ref="C2" r:id="rId1" display="https://stryker-mutator.io/docs/stryker-js/introduction/"/>
    <hyperlink ref="C3" r:id="rId2" display="https://arxiv.org/pdf/2501.12862"/>
    <hyperlink ref="C4" r:id="rId3" display="https://dl.acm.org/doi/10.1145/3696630.3728544"/>
    <hyperlink ref="C5" r:id="rId4" display="https://engineering.fb.com/2025/09/30/security/llms-are-the-key-to-mutation-testing-and-better-compliance/"/>
    <hyperlink ref="C6" r:id="rId5" display="https://github.com/githubnext/llmorpheus"/>
    <hyperlink ref="C7" r:id="rId6" display="https://github.com/codeintegrity-ai/mutahunter"/>
    <hyperlink ref="C8" r:id="rId7" display="https://pypi.org/project/mutahunter/1.3.1/"/>
    <hyperlink ref="C9" r:id="rId8" display="https://github.com/hughescr/stryker-llm-mutator"/>
    <hyperlink ref="C10" r:id="rId9" display="https://glama.ai/mcp/servers/kluth/stryker-mcp-reporter"/>
    <hyperlink ref="C11" r:id="rId10" display="https://testdouble.com/insights/keep-your-coding-agent-on-task-with-mutation-testing"/>
    <hyperlink ref="C12" r:id="rId11" display="https://alexop.dev/posts/mutation-testing-ai-agents-vitest-browser-mode/"/>
    <hyperlink ref="C13" r:id="rId12" display="https://pynguin.readthedocs.io/stable/api.html"/>
    <hyperlink ref="C14" r:id="rId13" display="https://pynguin.readthedocs.io/latest/dev/overview.html"/>
    <hyperlink ref="C15" r:id="rId14" display="https://github.com/se2p/pynguin/blob/main/CHANGELOG.md"/>
    <hyperlink ref="C16" r:id="rId15" display="https://www.diffblue.com/pricing/"/>
    <hyperlink ref="C17" r:id="rId16" display="https://cover-docs.diffblue.com/updates-and-upgrades/cover-editions"/>
    <hyperlink ref="C18" r:id="rId17" display="https://www.sciencedirect.com/science/article/abs/pii/S0950584924000739"/>
    <hyperlink ref="C19" r:id="rId18" display="https://arxiv.org/pdf/2506.02954v4"/>
    <hyperlink ref="C20" r:id="rId19" display="https://arxiv.org/html/2602.08146v1"/>
    <hyperlink ref="C21" r:id="rId20" display="https://arxiv.org/abs/2408.01760"/>
    <hyperlink ref="C22" r:id="rId21" display="https://arxiv.org/abs/2607.00511"/>
    <hyperlink ref="C23" r:id="rId22" display="https://www.augmentcode.com/guides/mutation-testing-ai-generated-code"/>
    <hyperlink ref="C24" r:id="rId23" display="https://github.com/ttbhanh/eshop-su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2026-09-28T14:00:17Z</dcterms:created>
  <dc:creator>openpyxl</dc:creator>
  <dc:description/>
  <dc:language>en-US</dc:language>
  <cp:lastModifiedBy/>
  <dcterms:modified xsi:type="dcterms:W3CDTF">2026-09-28T14:00:17Z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