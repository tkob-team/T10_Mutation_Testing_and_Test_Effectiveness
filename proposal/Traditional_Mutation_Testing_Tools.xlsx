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Xếp hạng" sheetId="1" r:id="rId4"/>
    <sheet state="visible" name="02_Chi tiết tool" sheetId="2" r:id="rId5"/>
    <sheet state="visible" name="03_Phân tích bổ sung" sheetId="3" r:id="rId6"/>
    <sheet state="visible" name="04_Nguồn &amp; Ghi chú" sheetId="4" r:id="rId7"/>
  </sheets>
  <definedNames/>
  <calcPr/>
  <extLst>
    <ext uri="GoogleSheetsCustomDataVersion2">
      <go:sheetsCustomData xmlns:go="http://customooxmlschemas.google.com/" r:id="rId8" roundtripDataChecksum="z3wBHZNKuoccQLE+0LN8BcBHrudzNTFzHOAw0IADWGA="/>
    </ext>
  </extLst>
</workbook>
</file>

<file path=xl/sharedStrings.xml><?xml version="1.0" encoding="utf-8"?>
<sst xmlns="http://schemas.openxmlformats.org/spreadsheetml/2006/main" count="863" uniqueCount="406">
  <si>
    <t>Traditional Mutation Testing Tools — T10</t>
  </si>
  <si>
    <t>Traditional Mutation Testing — Chi tiết tool</t>
  </si>
  <si>
    <t>Traditional Mutation Testing — Phân tích bổ sung</t>
  </si>
  <si>
    <t>Traditional Mutation Testing — Nguồn &amp; Ghi chú</t>
  </si>
  <si>
    <t>Khung chung: survey toàn bộ tool hiện có → chấm 5 tiêu chí S1 → ranking → shortlist. Điểm Traditional đã được điền sơ bộ từ dữ liệu matrix + research bổ sung (28/09/2026); team vẫn cần review/cross-check trước khi chốt S1. Tổng/Hạng tự tính.</t>
  </si>
  <si>
    <t>Cùng schema với file AI-Augmented. Nội dung matrix gốc được giữ nguyên tối đa; 'Đánh giá' cũ được đặt vào 'Đánh giá / Use case', còn Failure mode để “—” nếu nguồn chưa tách riêng.</t>
  </si>
  <si>
    <t>Supporting analysis dùng để giải thích ranking/lựa chọn tool; không phải tiêu chí scoring bổ sung.</t>
  </si>
  <si>
    <t>Nguồn được gom từ matrix gốc; không tự bổ sung hoặc thay thế reference. Reliability notes được giữ nguyên.</t>
  </si>
  <si>
    <t>Tiêu chí</t>
  </si>
  <si>
    <t>Ví dụ / công cụ</t>
  </si>
  <si>
    <t>Tool</t>
  </si>
  <si>
    <t>Ecosystem / Ngôn ngữ</t>
  </si>
  <si>
    <t>Trạng thái</t>
  </si>
  <si>
    <t>Mức mutate</t>
  </si>
  <si>
    <t>Licence &amp; Chi phí</t>
  </si>
  <si>
    <t>Learning Curve</t>
  </si>
  <si>
    <t>EShop Fit</t>
  </si>
  <si>
    <t>Source/AST: StrykerJS, Infection, mutmut, Cosmic Ray · Bytecode: PIT, Javalanche, Jumble · LLVM IR: Mull · Text/regex: universalmutator</t>
  </si>
  <si>
    <t>AI Capability</t>
  </si>
  <si>
    <t>Community</t>
  </si>
  <si>
    <t>Đánh giá / Use case</t>
  </si>
  <si>
    <t>Rủi ro / Failure mode</t>
  </si>
  <si>
    <t>Nguồn chính</t>
  </si>
  <si>
    <t>Mutant schemata / mutant switching</t>
  </si>
  <si>
    <t>Hạng</t>
  </si>
  <si>
    <t>#</t>
  </si>
  <si>
    <t>StrykerJS</t>
  </si>
  <si>
    <t>StrykerJS &amp; họ Stryker (theo kiến trúc từ Stryker 4 – chưa trích docs) · Mull (1 binary, bật bằng cờ) · Dextool (schemata) · mutmut 3 (trampoline) · pytest-gremlins. Ngược lại: cargo-mutants, LittleDarwin, Muter build lại mỗi mutant → chậm hơn.</t>
  </si>
  <si>
    <t>Tool / hướng</t>
  </si>
  <si>
    <t>JavaScript / TypeScript | JS, TS (cả front-end framework)</t>
  </si>
  <si>
    <t>Loại / Ecosystem</t>
  </si>
  <si>
    <t>Đang bảo trì</t>
  </si>
  <si>
    <t>Tên nguồn</t>
  </si>
  <si>
    <t>Licence cost</t>
  </si>
  <si>
    <t>Apache-2.0, miễn phí</t>
  </si>
  <si>
    <t>URL / Tham chiếu</t>
  </si>
  <si>
    <t>Learning curve</t>
  </si>
  <si>
    <t>Loại</t>
  </si>
  <si>
    <t>EShop fit</t>
  </si>
  <si>
    <t>Thấp–Trung bình: npm init stryker / npx stryker run; runner cho Jest, Vitest, Mocha, Jasmine, Karma, Cucumber, Tap; mặc định 'command' runner (không có per-test coverage). Docs rất tốt.</t>
  </si>
  <si>
    <t>AI capability</t>
  </si>
  <si>
    <t>Per-test coverage analysis</t>
  </si>
  <si>
    <t>Rất phù hợp: chạy trực tiếp trên backend Node.js/TS; đề bài yêu cầu dùng công cụ này.</t>
  </si>
  <si>
    <t>Tổng /25</t>
  </si>
  <si>
    <t>StrykerJS (perTest; command runner không có) · PIT · Infection · Stryker.NET (vấn đề với xUnit v3) · Gremlins chưa có</t>
  </si>
  <si>
    <t>Không có tính năng AI chính thức. Có plugin cộng đồng hughescr/stryker-llm-mutator (không chính thức).</t>
  </si>
  <si>
    <t>~3k stars; dự án đang phát triển tích cực. GitHub Releases hiện hiển thị v9.6.1 (10/04/2026) là release công khai mới nhất; nhánh master yêu cầu Node &gt;=22, nên claim 'v10.0.0 đã release' cần kiểm tra lại trước khi đưa vào proposal.</t>
  </si>
  <si>
    <t>MAIN PICK. Mạnh: hệ sinh thái JS/TS đầy đủ, per-test coverage với runner chính thức, incremental mode, HTML/JSON/dashboard. Lưu ý version Node phải đối chiếu đúng release đang dùng trên EShop.</t>
  </si>
  <si>
    <t>Nhận xét ngắn</t>
  </si>
  <si>
    <t>github.com/stryker-mutator/stryker-js</t>
  </si>
  <si>
    <t>Incremental / diff-based</t>
  </si>
  <si>
    <t>Nguồn ghi trong matrix gốc</t>
  </si>
  <si>
    <t>StrykerJS --incremental · PIT history files + scmMutationCoverage · Dextool change-based · Mutant --since · Muter từ git diff · mutmut tiếp tục chỗ dừng. (Ý cốt lõi của paper Google)</t>
  </si>
  <si>
    <t>Command runner không cung cấp coverage analysis; incremental mode không phát hiện mọi thay đổi ngoài mutated/test files (ví dụ dependency, env, snapshot); static mutants có thể buộc chạy toàn bộ tests.</t>
  </si>
  <si>
    <t>Report format</t>
  </si>
  <si>
    <t>mutation-testing-elements (HTML/JSON chung): StrykerJS, Stryker.NET, Stryker4s, Stryker Dashboard · PIT: HTML/XML riêng · Dextool: HTML/JSON/Markdown · Muter: HTML/JSON/Xcode</t>
  </si>
  <si>
    <t>Mutode</t>
  </si>
  <si>
    <t>dl.acm.org/doi/10.1145/3213846.3229504</t>
  </si>
  <si>
    <t>JavaScript / TypeScript | JS / Node.js</t>
  </si>
  <si>
    <t>Đã bỏ / học thuật</t>
  </si>
  <si>
    <t>Open source (licence chưa xác minh)</t>
  </si>
  <si>
    <t>Trung bình: CLI, Node 8+</t>
  </si>
  <si>
    <t>Metric</t>
  </si>
  <si>
    <t>Chạy được về kỹ thuật nhưng đã cũ</t>
  </si>
  <si>
    <t>grunt-mutation-testing</t>
  </si>
  <si>
    <t>Mutation score (Stryker, PIT) · MSI (Infection) · test efficacy / mutant coverage (Gremlins). Cần giải thích cách xử lý timeout / no-coverage / equivalent khi so sánh.</t>
  </si>
  <si>
    <t>Không có</t>
  </si>
  <si>
    <t>npmjs.com/package/grunt-mutation-testing</t>
  </si>
  <si>
    <t>Tool demo paper ISSTA 2018; không thấy hoạt động gần đây (chưa xác minh)</t>
  </si>
  <si>
    <t>Chỉ nhắc như tiền thân học thuật cho Node.js.</t>
  </si>
  <si>
    <t>—</t>
  </si>
  <si>
    <t>Equivalent mutant</t>
  </si>
  <si>
    <t>Không tool truyền thống nào giải quyết triệt để. Heuristic: Javalanche (impact), universalmutator (TCE), Arcmutate (subsumption) → lý do chọn thêm AI tool.</t>
  </si>
  <si>
    <t>js-mutation-testing (paysdoc)</t>
  </si>
  <si>
    <t>github.com/paysdoc/js-mutation-testing</t>
  </si>
  <si>
    <t>JavaScript / TypeScript | JS</t>
  </si>
  <si>
    <t>Open source</t>
  </si>
  <si>
    <t>Trung bình–Cao: phụ thuộc Grunt</t>
  </si>
  <si>
    <t>Không nên dùng</t>
  </si>
  <si>
    <t>npm 1.4.2, publish lần cuối ~9 năm trước; README ghi chuyển sang Stryker</t>
  </si>
  <si>
    <t>Chỉ nhắc như lịch sử (tiền thân Stryker).</t>
  </si>
  <si>
    <t>testtruth</t>
  </si>
  <si>
    <t>github.com/theofidry/awesome-mutation-testing</t>
  </si>
  <si>
    <t>Không áp dụng</t>
  </si>
  <si>
    <t>Không</t>
  </si>
  <si>
    <t>README tự nhận 'still under construction'</t>
  </si>
  <si>
    <t>Chỉ nhắc.</t>
  </si>
  <si>
    <t>Mutandis</t>
  </si>
  <si>
    <t>Paper Mutode (ISSTA 2018)</t>
  </si>
  <si>
    <t>JavaScript / TypeScript | JS / TS</t>
  </si>
  <si>
    <t>JavaScript / TypeScript</t>
  </si>
  <si>
    <t>Chậm / không rõ</t>
  </si>
  <si>
    <t>Đề xuất</t>
  </si>
  <si>
    <t>Chưa xác minh</t>
  </si>
  <si>
    <t>Có thể dùng bổ trợ (so sánh trước/sau git diff)</t>
  </si>
  <si>
    <t>Chỉ thấy trong danh mục awesome-mutation-testing</t>
  </si>
  <si>
    <t>Không đủ dữ liệu, chỉ nhắc.</t>
  </si>
  <si>
    <t>JavaScript / TypeScript | JS phía client (Java/Rhino)</t>
  </si>
  <si>
    <t>Học thuật</t>
  </si>
  <si>
    <t>Cao</t>
  </si>
  <si>
    <t>Không (nhắm client-side)</t>
  </si>
  <si>
    <t>Được paper Mutode nhắc đến</t>
  </si>
  <si>
    <t>Chỉ nhắc (lịch sử).</t>
  </si>
  <si>
    <t>Vai trò</t>
  </si>
  <si>
    <t>Công cụ</t>
  </si>
  <si>
    <t>Lý do</t>
  </si>
  <si>
    <t>Stryker.NET</t>
  </si>
  <si>
    <t>Họ Stryker (.NET, Scala) | C#, .NET Core/Framework</t>
  </si>
  <si>
    <t>Main pick (traditional)</t>
  </si>
  <si>
    <t>Thấp: dotnet tool install -g dotnet-stryker → dotnet stryker; có hướng dẫn trên Microsoft Learn</t>
  </si>
  <si>
    <t>Không áp dụng (không chạy được trên EShop Node.js)</t>
  </si>
  <si>
    <t>1) Ứng viên JS/TS trưởng thành nhất và phù hợp trực tiếp với EShop Node.js; phần lớn alternatives JS trong survey là cũ/học thuật. GitHub Releases hiện hiển thị v9.6.1 (10/04/2026) là release công khai mới nhất; nhánh master yêu cầu Node &gt;=22 nên cần pin đúng version.
2) Chi phí 0 (Apache-2.0), learning curve thấp–trung bình, docs tốt.
3) Đủ tính năng thực tế: per-test coverage với runner chính thức, incremental mode, threshold/CI, HTML/JSON/Dashboard.</t>
  </si>
  <si>
    <t>~2.1k stars; 5.0.0 (11/09/2026, cần .NET 10); vấn đề đã biết với perTest trên xUnit v3</t>
  </si>
  <si>
    <t>Backup 'cùng họ': cùng report format với StrykerJS.</t>
  </si>
  <si>
    <t>github.com/stryker-mutator/stryker-net</t>
  </si>
  <si>
    <t>Backup (traditional)</t>
  </si>
  <si>
    <t>PIT (PITest) — hoặc Stryker.NET</t>
  </si>
  <si>
    <t>PIT: chuẩn công nghiệp JVM, cài bằng 1 plugin Maven, cho so sánh mutate source (Stryker) vs bytecode (PIT). Stryker.NET: cùng họ, cùng report format.</t>
  </si>
  <si>
    <t>MAIN PICK. Mạnh: hệ sinh thái JS/TS đầy đủ, per-test coverage với runner chính thức, incremental mode, HTML/JSON/dashboard. Research 28/09/2026: GitHub Releases hiển thị v9.6.1 là release công khai mới nhất; master yêu cầu Node &gt;=22 → cần pin version theo EShop.</t>
  </si>
  <si>
    <t>Stryker4s</t>
  </si>
  <si>
    <t>Họ Stryker (.NET, Scala) | Scala (sbt, Maven, Mill)</t>
  </si>
  <si>
    <t>AI-augmented</t>
  </si>
  <si>
    <t>Chọn riêng (vd: Claude/ChatGPT sinh assertion)</t>
  </si>
  <si>
    <t>Apache-2.0</t>
  </si>
  <si>
    <t>stryker-llm-mutator chỉ là plugin cộng đồng — cần đánh giá độ tin cậy trước khi dùng. DiffBlue Cover chỉ hỗ trợ Java nên không hợp EShop.</t>
  </si>
  <si>
    <t>Trung bình: cần sbt/Scala</t>
  </si>
  <si>
    <t>Không có (file CLAUDE.md trong repo chỉ là hướng dẫn phát triển, không phải tính năng)</t>
  </si>
  <si>
    <t>~217 stars; v1.0.0 (15/07) và v1.1.1 (30/07), năm gần như chắc là 2026</t>
  </si>
  <si>
    <t>Chỉ nhắc trong survey.</t>
  </si>
  <si>
    <t>github.com/stryker-mutator/stryker4s</t>
  </si>
  <si>
    <t>Lưu ý thực tế</t>
  </si>
  <si>
    <t>Phiên bản Node của EShop</t>
  </si>
  <si>
    <t>GitHub Releases hiện hiển thị v9.6.1 là release công khai mới nhất; nhánh master yêu cầu Node &gt;=22. Kiểm tra Node của EShop rồi pin version tương thích; không dùng claim v10.0.0 nếu chưa xác minh.</t>
  </si>
  <si>
    <t>PIT (PITest)</t>
  </si>
  <si>
    <t>Java / Kotlin / JVM | Java, JVM</t>
  </si>
  <si>
    <t>Thấp–Trung bình: pitest-maven (mutationCoverage) hoặc Gradle plugin; JUnit 5 cần pitest-junit5-plugin; docs tốt (pitest.org)</t>
  </si>
  <si>
    <t>github.com/hcoles/pitest</t>
  </si>
  <si>
    <t>~1.8k stars, 369 forks; 1.30.0 (27/08/2026); có history files (incremental), scmMutationCoverage</t>
  </si>
  <si>
    <t>BACKUP / DEMO PHỤ TỐT NHẤT. Mutate bytecode nên nhanh; là 'chuẩn' trong nhiều paper.</t>
  </si>
  <si>
    <t>Cross-module testing chỉ hỗ trợ giới hạn và phải cấu hình rõ; history/incremental settings cần giữ nhất quán khi so baseline; fullMutationMatrix được docs ghi là tính năng hỗ trợ một phần.</t>
  </si>
  <si>
    <t>Gợi ý demo 2–3 công cụ</t>
  </si>
  <si>
    <t>Arcmutate</t>
  </si>
  <si>
    <t>arcmutate.com</t>
  </si>
  <si>
    <t>Bước</t>
  </si>
  <si>
    <t>Ghi chú</t>
  </si>
  <si>
    <t>Major</t>
  </si>
  <si>
    <t>ResearchGate: The Major mutation framework</t>
  </si>
  <si>
    <t>Demo 1 (bắt buộc)</t>
  </si>
  <si>
    <t>StrykerJS trên EShop backend</t>
  </si>
  <si>
    <t>Bắt đầu với 1–2 module (cart, order); bật coverageAnalysis: perTest với Jest/Vitest.</t>
  </si>
  <si>
    <t>Demo 2 (so sánh)</t>
  </si>
  <si>
    <t>PIT trên project Maven Java nhỏ</t>
  </si>
  <si>
    <t>Vài class + JUnit 5; 1 plugin trong pom.xml; so sánh mutate source vs bytecode.</t>
  </si>
  <si>
    <t>muJava / µJava</t>
  </si>
  <si>
    <t>arxiv.org/pdf/1707.01123</t>
  </si>
  <si>
    <t>Java / Kotlin / JVM | Plugin thương mại cho PIT (Kotlin, Spring, Git/PR)</t>
  </si>
  <si>
    <t>Thương mại (licence key); miễn phí cho dự án open source; giá không công khai</t>
  </si>
  <si>
    <t>Demo 3 (tùy chọn)</t>
  </si>
  <si>
    <t>Trung bình: thêm plugin + file arcmutate-licence.txt</t>
  </si>
  <si>
    <t>mutmut (Python) hoặc Stryker.NET</t>
  </si>
  <si>
    <t>mutmut: pip install mutmut &amp;&amp; mutmut run (Windows cần WSL). Stryker.NET: cùng report format với StrykerJS.</t>
  </si>
  <si>
    <t>Không quảng cáo AI; lọc mutant thừa bằng phân tích (subsumption)</t>
  </si>
  <si>
    <t>Jumble</t>
  </si>
  <si>
    <t>Thuộc CloudDev từ 01/2024</t>
  </si>
  <si>
    <t>Springer: Comparison of Java mutation tools</t>
  </si>
  <si>
    <t>Nhắc như ví dụ công cụ THƯƠNG MẠI.</t>
  </si>
  <si>
    <t>Nên tránh</t>
  </si>
  <si>
    <t>Mull, Dextool, Mutant (Ruby)</t>
  </si>
  <si>
    <t>Mull/Dextool setup LLVM phức tạp; Mutant cần licence thương mại cho dự án không phải OSS.</t>
  </si>
  <si>
    <t>Judy</t>
  </si>
  <si>
    <t>awesome-mutation-testing</t>
  </si>
  <si>
    <t>Java / Kotlin / JVM | Java (tích hợp compiler)</t>
  </si>
  <si>
    <t>Miễn phí cho nghiên cứu (chưa xác minh licence)</t>
  </si>
  <si>
    <t>Cao: javac tùy biến + DSL Mml</t>
  </si>
  <si>
    <t>Học thuật (René Just); dùng trong Defects4J</t>
  </si>
  <si>
    <t>Nhắc trong survey (quan trọng về học thuật).</t>
  </si>
  <si>
    <t>Jester, JavaMut, metamutator, MMT</t>
  </si>
  <si>
    <t>Springer; arxiv.org/pdf/2404.14097</t>
  </si>
  <si>
    <t>Java / Kotlin / JVM | Java (toán tử OO class-level)</t>
  </si>
  <si>
    <t>Apache-2.0 theo paper LittleDarwin (chưa đối chiếu gốc)</t>
  </si>
  <si>
    <t>Cao: GUI cũ, không tích hợp build system</t>
  </si>
  <si>
    <t>Nghiên cứu / bằng chứng thực nghiệm</t>
  </si>
  <si>
    <t>mutflow, Mutant Kraken, pitest-kotlin (OSS)</t>
  </si>
  <si>
    <t>Ma, Offutt &amp; Kwon, ICSE 2006</t>
  </si>
  <si>
    <t>github.com/pitest/pitest-kotlin</t>
  </si>
  <si>
    <t>Chỉ nhắc (lịch sử / giáo trình).</t>
  </si>
  <si>
    <t>Javalanche</t>
  </si>
  <si>
    <t>Java / Kotlin / JVM | Java bytecode</t>
  </si>
  <si>
    <t>mutmut</t>
  </si>
  <si>
    <t>Public domain (theo paper LittleDarwin)</t>
  </si>
  <si>
    <t>github.com/boxed/mutmut</t>
  </si>
  <si>
    <t>Họ Stryker (.NET, Scala)</t>
  </si>
  <si>
    <t>Schuler &amp; Zeller 2009; đánh giá 'impact' để lọc equivalent mutant</t>
  </si>
  <si>
    <t>Nghiên cứu / nguồn</t>
  </si>
  <si>
    <t>LittleDarwin</t>
  </si>
  <si>
    <t>Java / Kotlin / JVM | Java (viết bằng Python)</t>
  </si>
  <si>
    <t>GPL-2.0</t>
  </si>
  <si>
    <t>Nội dung</t>
  </si>
  <si>
    <t>Trung bình: gọi build system cho mỗi mutant nên chậm</t>
  </si>
  <si>
    <t>Số liệu / điểm chính</t>
  </si>
  <si>
    <t>Mức xác minh</t>
  </si>
  <si>
    <t>Nguồn</t>
  </si>
  <si>
    <t>Parsai et al. 2017 (arXiv 1707.01123)</t>
  </si>
  <si>
    <t>Cosmic Ray</t>
  </si>
  <si>
    <t>State of Mutation Testing at Google (ICSE-SEIP 2018)</t>
  </si>
  <si>
    <t>Java / Kotlin / JVM | Java bytecode, JUnit</t>
  </si>
  <si>
    <t>pypi.org/project/cosmic-ray</t>
  </si>
  <si>
    <t>Open source (chưa xác minh)</t>
  </si>
  <si>
    <t>Trung bình</t>
  </si>
  <si>
    <t>Mutation testing ở quy mô code review; giảm chi phí bằng diff-based selection, bỏ dòng không coverage và 'arid lines'.</t>
  </si>
  <si>
    <t>Công cụ cũ (~2007)</t>
  </si>
  <si>
    <t>Hệ thống được dùng bởi ~6.000 engineers; ảnh hưởng &gt;13.000 code authors; xử lý khoảng 30% diffs có statement coverage. Paper báo 75% findings có feedback được developer đánh giá hữu ích.</t>
  </si>
  <si>
    <t>Paper / Google Research</t>
  </si>
  <si>
    <t>https://research.google/pubs/state-of-mutation-testing-at-google/</t>
  </si>
  <si>
    <t>Java / Kotlin / JVM | Java (meta-mutant / OO)</t>
  </si>
  <si>
    <t>Java / Kotlin / JVM</t>
  </si>
  <si>
    <t>Practical Mutation Testing at Scale: A view from Google (TSE 2021)</t>
  </si>
  <si>
    <t>Mở rộng hướng incremental: chỉ mutate code thay đổi, filter/select mutants theo context và hiệu quả lịch sử.</t>
  </si>
  <si>
    <t>Được đánh giá trên workflow dùng bởi &gt;24.000 developers và &gt;1.000 projects; mục tiêu giảm orders-of-magnitude số mutant và tăng actionability.</t>
  </si>
  <si>
    <t>https://research.google/pubs/practical-mutation-testing-at-scale-a-view-from-google/</t>
  </si>
  <si>
    <t>Madeyski &amp; Radyk 2010</t>
  </si>
  <si>
    <t>LittleDarwin (2017)</t>
  </si>
  <si>
    <t>Framework Java nhắm hệ thống lớn, có higher-order mutation, null-type mutants, mutant sampling và subsumption analysis.</t>
  </si>
  <si>
    <t>Bằng chứng rằng traditional mutation tool có thể thiết kế cho industrial-scale nhưng vẫn extensible cho nghiên cứu.</t>
  </si>
  <si>
    <t>Paper gốc</t>
  </si>
  <si>
    <t>Java / Kotlin / JVM | Java</t>
  </si>
  <si>
    <t>https://arxiv.org/abs/1707.01123</t>
  </si>
  <si>
    <t>Học thuật / OSS</t>
  </si>
  <si>
    <t>Chủ yếu nghiên cứu (MMT 2024: arXiv 2404.14097)</t>
  </si>
  <si>
    <t>UniversalMutator (ICSE 2018 / FSE 2024)</t>
  </si>
  <si>
    <t>Source rewrite đa ngôn ngữ bằng regex; có mode Comby để giảm invalid mutants; hỗ trợ nhiều ngôn ngữ.</t>
  </si>
  <si>
    <t>Trade-off chính: portability cao nhưng integration/build/test orchestration thủ công hơn tool chuyên hệ sinh thái.</t>
  </si>
  <si>
    <t>Repo chính thức + paper được repo dẫn</t>
  </si>
  <si>
    <t>https://github.com/agroce/universalmutator</t>
  </si>
  <si>
    <t>Java / Kotlin / JVM | Kotlin</t>
  </si>
  <si>
    <t>OSS</t>
  </si>
  <si>
    <t>pitest-kotlin tự ghi 'not maintained', khuyên dùng Arcmutate</t>
  </si>
  <si>
    <t>PIT official workflow</t>
  </si>
  <si>
    <t>Maven/Gradle-friendly JVM mutation testing; hỗ trợ history files cho repeated runs, dry-run để debug setup.</t>
  </si>
  <si>
    <t>Cho thấy traditional tool trưởng thành thường tối ưu bằng integration với build system + incremental/history thay vì chỉ tăng số mutant.</t>
  </si>
  <si>
    <t>Tài liệu chính thức</t>
  </si>
  <si>
    <t>https://pitest.org/quickstart/maven/</t>
  </si>
  <si>
    <t>Python</t>
  </si>
  <si>
    <t>BSD, miễn phí</t>
  </si>
  <si>
    <t>MutPy</t>
  </si>
  <si>
    <t>Thấp: pip install mutmut, mutmut run, mutmut browse (TUI); cần fork (Windows dùng WSL)</t>
  </si>
  <si>
    <t>pypi.org/project/MutPy-Pynguin</t>
  </si>
  <si>
    <t>~1.4k stars; 3.8.0 (12/09, năm 2026 suy từ ngữ cảnh)</t>
  </si>
  <si>
    <t>Đơn giản nhất nếu muốn demo Python.</t>
  </si>
  <si>
    <t>Yêu cầu POSIX fork (Windows phải dùng WSL). Với test setup không fork-safe, worker có thể hang/segfault hoặc cho kết quả khó tái lập; giảm max_stack_depth tăng tốc nhưng có thể làm tăng surviving mutants.</t>
  </si>
  <si>
    <t>mutatest</t>
  </si>
  <si>
    <t>mutatest.readthedocs.io</t>
  </si>
  <si>
    <t>MIT</t>
  </si>
  <si>
    <t>Trung bình: cấu hình TOML, session, distributor, nhiều lệnh</t>
  </si>
  <si>
    <t>Release PyPI 09/08/2026; stars chưa xác minh</t>
  </si>
  <si>
    <t>Nhắc; mạnh về chạy phân tán.</t>
  </si>
  <si>
    <t>Timeout phải đặt đủ dài cho test hợp lệ; khi chạy phân tán, mỗi worker cần bản sao code riêng để tránh mutation ghi đè nhau; local distributor chỉ chạy một mutation tại một thời điểm.</t>
  </si>
  <si>
    <t>pytest-gremlins</t>
  </si>
  <si>
    <t>github.com/mikelane/pytest-gremlins</t>
  </si>
  <si>
    <t>Python | Python 3.4–3.7</t>
  </si>
  <si>
    <t>Cập nhật cuối 2019 (nguồn thứ ba); có fork MutPy-Pynguin cho 3.8+</t>
  </si>
  <si>
    <t>Pytest Mutagen</t>
  </si>
  <si>
    <t>OSS (chưa xác minh)</t>
  </si>
  <si>
    <t>dl.acm.org/doi/10.1145/3701625.3701659</t>
  </si>
  <si>
    <t>Thấp–Trung bình</t>
  </si>
  <si>
    <t>Cập nhật cuối 2022 (nguồn thứ ba)</t>
  </si>
  <si>
    <t>Mull</t>
  </si>
  <si>
    <t>Python | Python (plugin pytest)</t>
  </si>
  <si>
    <t>github.com/mull-project/mull</t>
  </si>
  <si>
    <t>Thấp</t>
  </si>
  <si>
    <t>Mutation switching, incremental; benchmark do chính tác giả công bố</t>
  </si>
  <si>
    <t>Chỉ nhắc (xu hướng mới).</t>
  </si>
  <si>
    <t>Dextool Mutate</t>
  </si>
  <si>
    <t>github.com/joakim-brannstrom/dextool</t>
  </si>
  <si>
    <t>Được nêu trong paper so sánh tool Python (SBQS 2024)</t>
  </si>
  <si>
    <t>Gremlins</t>
  </si>
  <si>
    <t>github.com/go-gremlins/gremlins</t>
  </si>
  <si>
    <t>C / C++ | C, C++ (LLVM)</t>
  </si>
  <si>
    <t>Cao: đúng phiên bản LLVM/Clang (13–22), compiler plugin, mull-runner; chỉ macOS/Linux</t>
  </si>
  <si>
    <t>ooze</t>
  </si>
  <si>
    <t>Docs 0.32.0; paper ICSTW 2018; stars chưa xác minh</t>
  </si>
  <si>
    <t>pkg.go.dev/github.com/gtramontina/ooze</t>
  </si>
  <si>
    <t>Nhắc; hay về kỹ thuật (mọi mutant trong 1 binary, bật bằng cờ).</t>
  </si>
  <si>
    <t>Phụ thuộc chặt vào Clang/LLVM và platform/toolchain; setup phức tạp hơn tool cấp source. Docs cũng có mục 'Known issue: Precision'.</t>
  </si>
  <si>
    <t>gomutants</t>
  </si>
  <si>
    <t>libraries.io</t>
  </si>
  <si>
    <t>C / C++ | C, C++</t>
  </si>
  <si>
    <t>MPL-2.0 (chưa xác minh)</t>
  </si>
  <si>
    <t>Cao: build từ source (D + LLVM), cấu hình TOML</t>
  </si>
  <si>
    <t>Schemata, change-based, phát hiện test useless/redundant</t>
  </si>
  <si>
    <t>Nhắc; ví dụ tốt cho schemata.</t>
  </si>
  <si>
    <t>cargo-mutants</t>
  </si>
  <si>
    <t>crates.io/crates/cargo-mutants</t>
  </si>
  <si>
    <t>Mutate++</t>
  </si>
  <si>
    <t>C / C++ | C++</t>
  </si>
  <si>
    <t>MIT (chưa xác minh)</t>
  </si>
  <si>
    <t>Trung bình: web UI Python</t>
  </si>
  <si>
    <t>Chưa xác minh hoạt động</t>
  </si>
  <si>
    <t>mutagen</t>
  </si>
  <si>
    <t>blog.frankel.ch/mutation-testing-rust</t>
  </si>
  <si>
    <t>llvm-mutate, Frama-C Mutation, MuCPP, AccMut, MUSIC, SRCIROR, MART</t>
  </si>
  <si>
    <t>C / C++</t>
  </si>
  <si>
    <t>Chủ yếu công cụ nghiên cứu</t>
  </si>
  <si>
    <t>Mutant</t>
  </si>
  <si>
    <t>github.com/mbj/mutant</t>
  </si>
  <si>
    <t>Go</t>
  </si>
  <si>
    <t>Thấp: gremlins unleash; chỉ hỗ trợ go test</t>
  </si>
  <si>
    <t>Vẫn 0.x (v0.6.0); có báo cáo lỗi với Go 1.26.x (chưa kiểm chứng)</t>
  </si>
  <si>
    <t>Nhắc; lấy cảm hứng từ PIT.</t>
  </si>
  <si>
    <t>Infection</t>
  </si>
  <si>
    <t>github.com/infection/infection</t>
  </si>
  <si>
    <t>go-mutesting (+ các fork)</t>
  </si>
  <si>
    <t>Bản gốc ít hoạt động, fork (avito-tech...) vẫn tiếp tục</t>
  </si>
  <si>
    <t>Humbug</t>
  </si>
  <si>
    <t>infection.github.io/guide</t>
  </si>
  <si>
    <t>Thấp: chạy như một test Go</t>
  </si>
  <si>
    <t>v0.2.0</t>
  </si>
  <si>
    <t>Tự nhận superset của ooze/gremlins (tự công bố)</t>
  </si>
  <si>
    <t>Rust</t>
  </si>
  <si>
    <t>Muter</t>
  </si>
  <si>
    <t>Thấp: cargo install cargo-mutants → cargo mutants; hỗ trợ nextest</t>
  </si>
  <si>
    <t>github.com/muter-mutation-testing/muter</t>
  </si>
  <si>
    <t>27.1.0 (02/06/2026); tác giả ghi 'semi-actively-maintained'</t>
  </si>
  <si>
    <t>Nhắc; rất dễ dùng.</t>
  </si>
  <si>
    <t>Kết quả chỉ có ý nghĩa khi test suite ổn định; flaky tests làm kết quả mutation trở nên vô nghĩa. Không hỗ trợ cross-compilation; chỉ hỗ trợ Cargo build flow.</t>
  </si>
  <si>
    <t>universalmutator</t>
  </si>
  <si>
    <t>github.com/agroce/universalmutator</t>
  </si>
  <si>
    <t>Cao: cần nightly + attribute trong code</t>
  </si>
  <si>
    <t>Không bảo trì ~3 năm (blog Frankel)</t>
  </si>
  <si>
    <t>Ruby</t>
  </si>
  <si>
    <t>Thương mại/dual: miễn phí cho OSS; $30/tháng hoặc $250/năm mỗi dev</t>
  </si>
  <si>
    <t>Trung bình–Cao: RSpec/Minitest, Rails cần hook</t>
  </si>
  <si>
    <t>Khẩu hiệu README nhắc AI nhưng là marketing, không có AI tích hợp</t>
  </si>
  <si>
    <t>Tác giả Markus Schirp; có paper IEEE</t>
  </si>
  <si>
    <t>Nhắc như ví dụ THƯƠNG MẠI thứ hai.</t>
  </si>
  <si>
    <t>PHP</t>
  </si>
  <si>
    <t>BSD-3-Clause, miễn phí</t>
  </si>
  <si>
    <t>Thấp–Trung bình: composer require --dev; PHP 8.3+ và Xdebug/phpdbg/pcov; có Playground online</t>
  </si>
  <si>
    <t>Không có (thuần AST)</t>
  </si>
  <si>
    <t>~2.2k stars; công cụ chuẩn của cộng đồng PHP</t>
  </si>
  <si>
    <t>Nhắc; metric MSI là ví dụ hay.</t>
  </si>
  <si>
    <t>Mặc định timeout mutants có thể được tính như 'killed', dễ che test gap; cần cân nhắc --with-timeouts. Code không được coverage chỉ mutate khi bật --with-uncovered.</t>
  </si>
  <si>
    <t>Gambit (Certora)</t>
  </si>
  <si>
    <t>certora.com/gambit</t>
  </si>
  <si>
    <t>vertigo-rs (bản gốc vertigo đã bỏ)</t>
  </si>
  <si>
    <t>Tiền thân của Infection</t>
  </si>
  <si>
    <t>rareskills.io/post/solidity-mutation-testing</t>
  </si>
  <si>
    <t>Pest PHP mutation</t>
  </si>
  <si>
    <t>StrykerJS — Configuration</t>
  </si>
  <si>
    <t>https://stryker-mutator.io/docs/stryker-js/configuration/</t>
  </si>
  <si>
    <t>StrykerJS — Incremental</t>
  </si>
  <si>
    <t>https://stryker-mutator.io/docs/stryker-js/incremental/</t>
  </si>
  <si>
    <t>PIT — Maven Quick Start</t>
  </si>
  <si>
    <t>MIT (Pest)</t>
  </si>
  <si>
    <t>Thấp nếu đã dùng Pest</t>
  </si>
  <si>
    <t>Tính năng tích hợp sẵn trong Pest</t>
  </si>
  <si>
    <t>Swift | Swift (không hỗ trợ Objective-C)</t>
  </si>
  <si>
    <t>Trung bình: muter init; build lại mỗi mutant</t>
  </si>
  <si>
    <t>HTML report, output cho Xcode</t>
  </si>
  <si>
    <t>Đa ngôn ngữ | Python, Java, C/C++, Rust, Solidity, Swift, JS, Go...</t>
  </si>
  <si>
    <t>Trung bình: pip install; mutate + analyze_mutants</t>
  </si>
  <si>
    <t>Mutate được JS/TS về kỹ thuật nhưng không tích hợp Jest/Vitest, không per-test coverage, không HTML report kiểu Stryker</t>
  </si>
  <si>
    <t>Paper ICSE 2018 (tool), FSE 2024</t>
  </si>
  <si>
    <t>Nhắc như phương án đa ngôn ngữ; không nên dùng cho EShop khi đã có Stryker.</t>
  </si>
  <si>
    <t>Cách rewrite source bằng regex/Comby có thể tạo invalid/redundant mutants. TCE mặc định không áp dụng cho C/C++/JavaScript/Go; build dependencies có thể làm compile-check khó dùng.</t>
  </si>
  <si>
    <t>Solidity</t>
  </si>
  <si>
    <t>Open source, miễn phí</t>
  </si>
  <si>
    <t>Trung bình: chỉ sinh mutant, cần script chạy test</t>
  </si>
  <si>
    <t>Không có (tích hợp Certora Prover – formal verification, không phải AI)</t>
  </si>
  <si>
    <t>Certora cam kết duy trì</t>
  </si>
  <si>
    <t>Solidity | Solidity (Foundry/Hardhat/Truffle)</t>
  </si>
  <si>
    <t>RareSkills bảo trì; bản gốc 'no longer maintained'</t>
  </si>
  <si>
    <t>Mutation (Elixir), Muterl (Erlang), MuCheck, FitSpec (Haskell), mutant (Clojure), crytic (Crystal), Mutaml (OCaml), MuTalk (Smalltalk), muttest (R), Mutate.lean, MuAlloy, MUT4SLX, Scalamu, Faultify, Fettle, Testura.Mutation, boggart, Bough</t>
  </si>
  <si>
    <t>Ngôn ngữ khác | Nhiều ngôn ngữ</t>
  </si>
  <si>
    <t>Phần lớn OSS / học thuật</t>
  </si>
  <si>
    <t>Không đồng đều</t>
  </si>
  <si>
    <t>Chưa xác minh trạng thái từng tool; danh mục nguồn tự cảnh báo có thể không còn bảo trì</t>
  </si>
  <si>
    <t>Chỉ liệt kê cho đủ độ phủ.</t>
  </si>
  <si>
    <t>mutmut — GitHub README</t>
  </si>
  <si>
    <t>https://github.com/boxed/mutmut</t>
  </si>
  <si>
    <t>Repo chính thức</t>
  </si>
  <si>
    <t>Cosmic Ray — Basics / Distributed</t>
  </si>
  <si>
    <t>https://cosmic-ray.readthedocs.io/en/latest/tutorials/distributed/</t>
  </si>
  <si>
    <t>Mull — Features</t>
  </si>
  <si>
    <t>https://mull.readthedocs.io/en/latest/Features.html</t>
  </si>
  <si>
    <t>Infection — Command Line Options</t>
  </si>
  <si>
    <t>https://infection.github.io/guide/command-line-options.html</t>
  </si>
  <si>
    <t>Swift</t>
  </si>
  <si>
    <t>Đa ngôn ngữ</t>
  </si>
  <si>
    <t>cargo-mutants — Getting Started</t>
  </si>
  <si>
    <t>https://mutants.rs/getting-started.html</t>
  </si>
  <si>
    <t>UniversalMutator — GitHub</t>
  </si>
  <si>
    <t>Google Research — State of Mutation Testing at Google</t>
  </si>
  <si>
    <t>Paper / nguồn chính thức</t>
  </si>
  <si>
    <t>Ngôn ngữ khác</t>
  </si>
  <si>
    <t>Khuyến nghị / ghi chú hiện tại</t>
  </si>
  <si>
    <t>Ứng viên đề xuất cho Tool_Survey_Proposal (Stage S1):</t>
  </si>
  <si>
    <t>Main pick (traditional) — StrykerJS: 1) Ứng viên JS/TS trưởng thành nhất và phù hợp trực tiếp với EShop Node.js; phần lớn alternatives JS trong survey là cũ/học thuật. GitHub Releases hiện hiển thị v9.6.1 (10/04/2026) là release công khai mới nhất; nhánh master yêu cầu Node &gt;=22 nên version phải pin theo môi trường EShop.
2) Chi phí 0 (Apache-2.0), learning curve thấp–trung bình, docs tốt.
3) Đủ tính năng thực tế: per-test coverage với runner chính thức, incremental mode, threshold/CI và HTML/JSON/Dashboard; hướng incremental phù hợp với bài học từ Google mutation testing at scale.</t>
  </si>
  <si>
    <t>Backup (traditional) — PIT (PITest) — hoặc Stryker.NET: PIT: chuẩn công nghiệp JVM, cài bằng 1 plugin Maven, cho so sánh mutate source (Stryker) vs bytecode (PIT). Stryker.NET: cùng họ, cùng report format.</t>
  </si>
  <si>
    <t>AI-augmented — Chọn riêng (vd: Claude/ChatGPT sinh assertion): stryker-llm-mutator chỉ là plugin cộng đồng — cần đánh giá độ tin cậy trước khi dùng. DiffBlue Cover chỉ hỗ trợ Java nên không hợp EShop.</t>
  </si>
  <si>
    <t>Lưu ý thực tế — Phiên bản Node của EShop: GitHub Releases hiện hiển thị StrykerJS v9.6.1 là release công khai mới nhất; nhánh master yêu cầu Node &gt;=22. Khi setup phải kiểm tra Node của EShop và pin đúng major thay vì giả định v10 đã release.</t>
  </si>
  <si>
    <t>Gợi ý demo 2–3 công cụ:</t>
  </si>
  <si>
    <t>Demo 1 (bắt buộc) — StrykerJS trên EShop backend: Bắt đầu với 1–2 module (cart, order); bật coverageAnalysis: perTest với Jest/Vitest.</t>
  </si>
  <si>
    <t>Demo 2 (so sánh) — PIT trên project Maven Java nhỏ: Vài class + JUnit 5; 1 plugin trong pom.xml; so sánh mutate source vs bytecode.</t>
  </si>
  <si>
    <t>Demo 3 (tùy chọn) — mutmut (Python) hoặc Stryker.NET: mutmut: pip install mutmut &amp;&amp; mutmut run (Windows cần WSL). Stryker.NET: cùng report format với StrykerJS.</t>
  </si>
  <si>
    <t>Nên tránh — Mull, Dextool, Mutant (Ruby): Mull/Dextool setup LLVM phức tạp; Mutant cần licence thương mại cho dự án không phải OSS.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</si>
</sst>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rlito"/>
      <scheme val="minor"/>
    </font>
    <font>
      <b/>
      <sz val="15.0"/>
      <color rgb="FFFFFFFF"/>
      <name val="Arial"/>
    </font>
    <font/>
    <font>
      <color theme="1"/>
      <name val="Arial"/>
    </font>
    <font>
      <sz val="11.0"/>
      <color theme="1"/>
      <name val="Arial"/>
    </font>
    <font>
      <i/>
      <sz val="10.0"/>
      <color rgb="FF5B6573"/>
      <name val="Arial"/>
    </font>
    <font>
      <b/>
      <sz val="10.0"/>
      <color rgb="FFFFFFFF"/>
      <name val="Arial"/>
    </font>
    <font>
      <sz val="10.0"/>
      <color rgb="FF1F2937"/>
      <name val="Arial"/>
    </font>
    <font>
      <b/>
      <sz val="11.0"/>
      <color rgb="FF1F2937"/>
      <name val="Arial"/>
    </font>
    <font>
      <b/>
      <sz val="11.0"/>
      <color rgb="FF1F1F1F"/>
      <name val="Arial"/>
    </font>
    <font>
      <b/>
      <sz val="11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EAF2F8"/>
        <bgColor rgb="FFEAF2F8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horizontal="center" shrinkToFit="0" vertical="top" wrapText="1"/>
    </xf>
    <xf borderId="1" fillId="5" fontId="8" numFmtId="0" xfId="0" applyAlignment="1" applyBorder="1" applyFill="1" applyFont="1">
      <alignment readingOrder="0" shrinkToFit="0" vertical="center" wrapText="1"/>
    </xf>
    <xf borderId="4" fillId="6" fontId="7" numFmtId="0" xfId="0" applyAlignment="1" applyBorder="1" applyFill="1" applyFont="1">
      <alignment horizontal="center" shrinkToFit="0" vertical="top" wrapText="1"/>
    </xf>
    <xf borderId="4" fillId="7" fontId="7" numFmtId="0" xfId="0" applyAlignment="1" applyBorder="1" applyFill="1" applyFont="1">
      <alignment horizontal="center" shrinkToFit="0" vertical="top" wrapText="1"/>
    </xf>
    <xf borderId="1" fillId="5" fontId="9" numFmtId="0" xfId="0" applyAlignment="1" applyBorder="1" applyFill="1" applyFont="1">
      <alignment shrinkToFit="0" vertical="center" wrapText="1"/>
    </xf>
    <xf borderId="4" fillId="4" fontId="10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1" fillId="5" fontId="8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1.0"/>
    <col customWidth="1" min="3" max="3" width="24.0"/>
    <col customWidth="1" min="4" max="4" width="13.0"/>
    <col customWidth="1" min="5" max="5" width="14.0"/>
    <col customWidth="1" min="6" max="6" width="12.0"/>
    <col customWidth="1" min="7" max="7" width="14.0"/>
    <col customWidth="1" min="8" max="8" width="13.0"/>
    <col customWidth="1" min="9" max="9" width="11.0"/>
    <col customWidth="1" min="10" max="10" width="46.0"/>
    <col customWidth="1" min="11" max="26" width="8.6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6" t="s">
        <v>4</v>
      </c>
      <c r="B2" s="2"/>
      <c r="C2" s="2"/>
      <c r="D2" s="2"/>
      <c r="E2" s="2"/>
      <c r="F2" s="2"/>
      <c r="G2" s="2"/>
      <c r="H2" s="2"/>
      <c r="I2" s="2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7" t="s">
        <v>24</v>
      </c>
      <c r="B4" s="7" t="s">
        <v>28</v>
      </c>
      <c r="C4" s="7" t="s">
        <v>30</v>
      </c>
      <c r="D4" s="7" t="s">
        <v>33</v>
      </c>
      <c r="E4" s="7" t="s">
        <v>36</v>
      </c>
      <c r="F4" s="7" t="s">
        <v>38</v>
      </c>
      <c r="G4" s="7" t="s">
        <v>40</v>
      </c>
      <c r="H4" s="7" t="s">
        <v>19</v>
      </c>
      <c r="I4" s="7" t="s">
        <v>43</v>
      </c>
      <c r="J4" s="7" t="s">
        <v>48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9">
        <f t="shared" ref="A5:A47" si="1">IF(I5="","",SUMPRODUCT(($I$5:$I$47&gt;I5)+($I$5:$I$47=I5)*($F$5:$F$47&gt;F5))+1)</f>
        <v>1</v>
      </c>
      <c r="B5" s="8" t="s">
        <v>26</v>
      </c>
      <c r="C5" s="8" t="s">
        <v>90</v>
      </c>
      <c r="D5" s="11">
        <v>5.0</v>
      </c>
      <c r="E5" s="11">
        <v>4.0</v>
      </c>
      <c r="F5" s="11">
        <v>5.0</v>
      </c>
      <c r="G5" s="11">
        <v>1.0</v>
      </c>
      <c r="H5" s="11">
        <v>5.0</v>
      </c>
      <c r="I5" s="12">
        <f t="shared" ref="I5:I47" si="2">IF(COUNTA(D5:H5)&lt;5,"",SUM(D5:H5))</f>
        <v>20</v>
      </c>
      <c r="J5" s="8" t="s">
        <v>118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9">
        <f t="shared" si="1"/>
        <v>20</v>
      </c>
      <c r="B6" s="8" t="s">
        <v>56</v>
      </c>
      <c r="C6" s="8" t="s">
        <v>90</v>
      </c>
      <c r="D6" s="11">
        <v>5.0</v>
      </c>
      <c r="E6" s="11">
        <v>3.0</v>
      </c>
      <c r="F6" s="11">
        <v>2.0</v>
      </c>
      <c r="G6" s="11">
        <v>1.0</v>
      </c>
      <c r="H6" s="11">
        <v>1.0</v>
      </c>
      <c r="I6" s="12">
        <f t="shared" si="2"/>
        <v>12</v>
      </c>
      <c r="J6" s="8" t="s">
        <v>69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9">
        <f t="shared" si="1"/>
        <v>32</v>
      </c>
      <c r="B7" s="8" t="s">
        <v>64</v>
      </c>
      <c r="C7" s="8" t="s">
        <v>90</v>
      </c>
      <c r="D7" s="11">
        <v>5.0</v>
      </c>
      <c r="E7" s="11">
        <v>2.0</v>
      </c>
      <c r="F7" s="11">
        <v>1.0</v>
      </c>
      <c r="G7" s="11">
        <v>1.0</v>
      </c>
      <c r="H7" s="11">
        <v>1.0</v>
      </c>
      <c r="I7" s="12">
        <f t="shared" si="2"/>
        <v>10</v>
      </c>
      <c r="J7" s="8" t="s">
        <v>80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9">
        <f t="shared" si="1"/>
        <v>34</v>
      </c>
      <c r="B8" s="8" t="s">
        <v>73</v>
      </c>
      <c r="C8" s="8" t="s">
        <v>90</v>
      </c>
      <c r="D8" s="11">
        <v>5.0</v>
      </c>
      <c r="E8" s="11">
        <v>1.0</v>
      </c>
      <c r="F8" s="11">
        <v>1.0</v>
      </c>
      <c r="G8" s="11">
        <v>1.0</v>
      </c>
      <c r="H8" s="11">
        <v>1.0</v>
      </c>
      <c r="I8" s="12">
        <f t="shared" si="2"/>
        <v>9</v>
      </c>
      <c r="J8" s="8" t="s">
        <v>86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9">
        <f t="shared" si="1"/>
        <v>19</v>
      </c>
      <c r="B9" s="8" t="s">
        <v>81</v>
      </c>
      <c r="C9" s="8" t="s">
        <v>90</v>
      </c>
      <c r="D9" s="11">
        <v>3.0</v>
      </c>
      <c r="E9" s="11">
        <v>2.0</v>
      </c>
      <c r="F9" s="11">
        <v>3.0</v>
      </c>
      <c r="G9" s="11">
        <v>2.0</v>
      </c>
      <c r="H9" s="11">
        <v>2.0</v>
      </c>
      <c r="I9" s="12">
        <f t="shared" si="2"/>
        <v>12</v>
      </c>
      <c r="J9" s="8" t="s">
        <v>96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9">
        <f t="shared" si="1"/>
        <v>42</v>
      </c>
      <c r="B10" s="8" t="s">
        <v>87</v>
      </c>
      <c r="C10" s="8" t="s">
        <v>90</v>
      </c>
      <c r="D10" s="11">
        <v>3.0</v>
      </c>
      <c r="E10" s="11">
        <v>1.0</v>
      </c>
      <c r="F10" s="11">
        <v>1.0</v>
      </c>
      <c r="G10" s="11">
        <v>1.0</v>
      </c>
      <c r="H10" s="11">
        <v>1.0</v>
      </c>
      <c r="I10" s="12">
        <f t="shared" si="2"/>
        <v>7</v>
      </c>
      <c r="J10" s="8" t="s">
        <v>102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9">
        <f t="shared" si="1"/>
        <v>2</v>
      </c>
      <c r="B11" s="8" t="s">
        <v>106</v>
      </c>
      <c r="C11" s="8" t="s">
        <v>191</v>
      </c>
      <c r="D11" s="11">
        <v>5.0</v>
      </c>
      <c r="E11" s="11">
        <v>5.0</v>
      </c>
      <c r="F11" s="11">
        <v>1.0</v>
      </c>
      <c r="G11" s="11">
        <v>1.0</v>
      </c>
      <c r="H11" s="11">
        <v>5.0</v>
      </c>
      <c r="I11" s="12">
        <f t="shared" si="2"/>
        <v>17</v>
      </c>
      <c r="J11" s="8" t="s">
        <v>113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9">
        <f t="shared" si="1"/>
        <v>12</v>
      </c>
      <c r="B12" s="8" t="s">
        <v>119</v>
      </c>
      <c r="C12" s="8" t="s">
        <v>191</v>
      </c>
      <c r="D12" s="11">
        <v>5.0</v>
      </c>
      <c r="E12" s="11">
        <v>3.0</v>
      </c>
      <c r="F12" s="11">
        <v>1.0</v>
      </c>
      <c r="G12" s="11">
        <v>1.0</v>
      </c>
      <c r="H12" s="11">
        <v>4.0</v>
      </c>
      <c r="I12" s="12">
        <f t="shared" si="2"/>
        <v>14</v>
      </c>
      <c r="J12" s="8" t="s">
        <v>128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75" customHeight="1">
      <c r="A13" s="9">
        <f t="shared" si="1"/>
        <v>5</v>
      </c>
      <c r="B13" s="8" t="s">
        <v>133</v>
      </c>
      <c r="C13" s="8" t="s">
        <v>215</v>
      </c>
      <c r="D13" s="11">
        <v>5.0</v>
      </c>
      <c r="E13" s="11">
        <v>4.0</v>
      </c>
      <c r="F13" s="11">
        <v>1.0</v>
      </c>
      <c r="G13" s="11">
        <v>1.0</v>
      </c>
      <c r="H13" s="11">
        <v>5.0</v>
      </c>
      <c r="I13" s="12">
        <f t="shared" si="2"/>
        <v>16</v>
      </c>
      <c r="J13" s="8" t="s">
        <v>138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9">
        <f t="shared" si="1"/>
        <v>16</v>
      </c>
      <c r="B14" s="8" t="s">
        <v>141</v>
      </c>
      <c r="C14" s="8" t="s">
        <v>215</v>
      </c>
      <c r="D14" s="11">
        <v>3.0</v>
      </c>
      <c r="E14" s="11">
        <v>3.0</v>
      </c>
      <c r="F14" s="11">
        <v>1.0</v>
      </c>
      <c r="G14" s="11">
        <v>2.0</v>
      </c>
      <c r="H14" s="11">
        <v>4.0</v>
      </c>
      <c r="I14" s="12">
        <f t="shared" si="2"/>
        <v>13</v>
      </c>
      <c r="J14" s="8" t="s">
        <v>165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9">
        <f t="shared" si="1"/>
        <v>26</v>
      </c>
      <c r="B15" s="8" t="s">
        <v>145</v>
      </c>
      <c r="C15" s="8" t="s">
        <v>215</v>
      </c>
      <c r="D15" s="11">
        <v>5.0</v>
      </c>
      <c r="E15" s="11">
        <v>1.0</v>
      </c>
      <c r="F15" s="11">
        <v>1.0</v>
      </c>
      <c r="G15" s="11">
        <v>1.0</v>
      </c>
      <c r="H15" s="11">
        <v>3.0</v>
      </c>
      <c r="I15" s="12">
        <f t="shared" si="2"/>
        <v>11</v>
      </c>
      <c r="J15" s="8" t="s">
        <v>175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9">
        <f t="shared" si="1"/>
        <v>34</v>
      </c>
      <c r="B16" s="8" t="s">
        <v>153</v>
      </c>
      <c r="C16" s="8" t="s">
        <v>215</v>
      </c>
      <c r="D16" s="11">
        <v>5.0</v>
      </c>
      <c r="E16" s="11">
        <v>1.0</v>
      </c>
      <c r="F16" s="11">
        <v>1.0</v>
      </c>
      <c r="G16" s="11">
        <v>1.0</v>
      </c>
      <c r="H16" s="11">
        <v>1.0</v>
      </c>
      <c r="I16" s="12">
        <f t="shared" si="2"/>
        <v>9</v>
      </c>
      <c r="J16" s="8" t="s">
        <v>185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9">
        <f t="shared" si="1"/>
        <v>41</v>
      </c>
      <c r="B17" s="8" t="s">
        <v>186</v>
      </c>
      <c r="C17" s="8" t="s">
        <v>215</v>
      </c>
      <c r="D17" s="11">
        <v>4.0</v>
      </c>
      <c r="E17" s="11">
        <v>1.0</v>
      </c>
      <c r="F17" s="11">
        <v>1.0</v>
      </c>
      <c r="G17" s="11">
        <v>1.0</v>
      </c>
      <c r="H17" s="11">
        <v>1.0</v>
      </c>
      <c r="I17" s="12">
        <f t="shared" si="2"/>
        <v>8</v>
      </c>
      <c r="J17" s="8" t="s">
        <v>86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9">
        <f t="shared" si="1"/>
        <v>21</v>
      </c>
      <c r="B18" s="8" t="s">
        <v>194</v>
      </c>
      <c r="C18" s="8" t="s">
        <v>215</v>
      </c>
      <c r="D18" s="11">
        <v>5.0</v>
      </c>
      <c r="E18" s="11">
        <v>3.0</v>
      </c>
      <c r="F18" s="11">
        <v>1.0</v>
      </c>
      <c r="G18" s="11">
        <v>1.0</v>
      </c>
      <c r="H18" s="11">
        <v>2.0</v>
      </c>
      <c r="I18" s="12">
        <f t="shared" si="2"/>
        <v>12</v>
      </c>
      <c r="J18" s="8" t="s">
        <v>86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9">
        <f t="shared" si="1"/>
        <v>26</v>
      </c>
      <c r="B19" s="8" t="s">
        <v>162</v>
      </c>
      <c r="C19" s="8" t="s">
        <v>215</v>
      </c>
      <c r="D19" s="11">
        <v>5.0</v>
      </c>
      <c r="E19" s="11">
        <v>3.0</v>
      </c>
      <c r="F19" s="11">
        <v>1.0</v>
      </c>
      <c r="G19" s="11">
        <v>1.0</v>
      </c>
      <c r="H19" s="11">
        <v>1.0</v>
      </c>
      <c r="I19" s="12">
        <f t="shared" si="2"/>
        <v>11</v>
      </c>
      <c r="J19" s="8" t="s">
        <v>86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9">
        <f t="shared" si="1"/>
        <v>42</v>
      </c>
      <c r="B20" s="8" t="s">
        <v>169</v>
      </c>
      <c r="C20" s="8" t="s">
        <v>215</v>
      </c>
      <c r="D20" s="11">
        <v>3.0</v>
      </c>
      <c r="E20" s="11">
        <v>1.0</v>
      </c>
      <c r="F20" s="11">
        <v>1.0</v>
      </c>
      <c r="G20" s="11">
        <v>1.0</v>
      </c>
      <c r="H20" s="11">
        <v>1.0</v>
      </c>
      <c r="I20" s="12">
        <f t="shared" si="2"/>
        <v>7</v>
      </c>
      <c r="J20" s="8" t="s">
        <v>86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9">
        <f t="shared" si="1"/>
        <v>34</v>
      </c>
      <c r="B21" s="8" t="s">
        <v>176</v>
      </c>
      <c r="C21" s="8" t="s">
        <v>215</v>
      </c>
      <c r="D21" s="11">
        <v>5.0</v>
      </c>
      <c r="E21" s="11">
        <v>1.0</v>
      </c>
      <c r="F21" s="11">
        <v>1.0</v>
      </c>
      <c r="G21" s="11">
        <v>1.0</v>
      </c>
      <c r="H21" s="11">
        <v>1.0</v>
      </c>
      <c r="I21" s="12">
        <f t="shared" si="2"/>
        <v>9</v>
      </c>
      <c r="J21" s="8" t="s">
        <v>86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9">
        <f t="shared" si="1"/>
        <v>21</v>
      </c>
      <c r="B22" s="8" t="s">
        <v>182</v>
      </c>
      <c r="C22" s="8" t="s">
        <v>215</v>
      </c>
      <c r="D22" s="11">
        <v>5.0</v>
      </c>
      <c r="E22" s="11">
        <v>3.0</v>
      </c>
      <c r="F22" s="11">
        <v>1.0</v>
      </c>
      <c r="G22" s="11">
        <v>1.0</v>
      </c>
      <c r="H22" s="11">
        <v>2.0</v>
      </c>
      <c r="I22" s="12">
        <f t="shared" si="2"/>
        <v>12</v>
      </c>
      <c r="J22" s="8" t="s">
        <v>86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9">
        <f t="shared" si="1"/>
        <v>2</v>
      </c>
      <c r="B23" s="8" t="s">
        <v>188</v>
      </c>
      <c r="C23" s="8" t="s">
        <v>242</v>
      </c>
      <c r="D23" s="11">
        <v>5.0</v>
      </c>
      <c r="E23" s="11">
        <v>5.0</v>
      </c>
      <c r="F23" s="11">
        <v>1.0</v>
      </c>
      <c r="G23" s="11">
        <v>1.0</v>
      </c>
      <c r="H23" s="11">
        <v>5.0</v>
      </c>
      <c r="I23" s="12">
        <f t="shared" si="2"/>
        <v>17</v>
      </c>
      <c r="J23" s="8" t="s">
        <v>248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9">
        <f t="shared" si="1"/>
        <v>12</v>
      </c>
      <c r="B24" s="8" t="s">
        <v>203</v>
      </c>
      <c r="C24" s="8" t="s">
        <v>242</v>
      </c>
      <c r="D24" s="11">
        <v>5.0</v>
      </c>
      <c r="E24" s="11">
        <v>3.0</v>
      </c>
      <c r="F24" s="11">
        <v>1.0</v>
      </c>
      <c r="G24" s="11">
        <v>1.0</v>
      </c>
      <c r="H24" s="11">
        <v>4.0</v>
      </c>
      <c r="I24" s="12">
        <f t="shared" si="2"/>
        <v>14</v>
      </c>
      <c r="J24" s="8" t="s">
        <v>255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9">
        <f t="shared" si="1"/>
        <v>26</v>
      </c>
      <c r="B25" s="8" t="s">
        <v>244</v>
      </c>
      <c r="C25" s="8" t="s">
        <v>242</v>
      </c>
      <c r="D25" s="11">
        <v>5.0</v>
      </c>
      <c r="E25" s="11">
        <v>3.0</v>
      </c>
      <c r="F25" s="11">
        <v>1.0</v>
      </c>
      <c r="G25" s="11">
        <v>1.0</v>
      </c>
      <c r="H25" s="11">
        <v>1.0</v>
      </c>
      <c r="I25" s="12">
        <f t="shared" si="2"/>
        <v>11</v>
      </c>
      <c r="J25" s="8" t="s">
        <v>102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9">
        <f t="shared" si="1"/>
        <v>21</v>
      </c>
      <c r="B26" s="8" t="s">
        <v>250</v>
      </c>
      <c r="C26" s="8" t="s">
        <v>242</v>
      </c>
      <c r="D26" s="11">
        <v>5.0</v>
      </c>
      <c r="E26" s="11">
        <v>4.0</v>
      </c>
      <c r="F26" s="11">
        <v>1.0</v>
      </c>
      <c r="G26" s="11">
        <v>1.0</v>
      </c>
      <c r="H26" s="11">
        <v>1.0</v>
      </c>
      <c r="I26" s="12">
        <f t="shared" si="2"/>
        <v>12</v>
      </c>
      <c r="J26" s="8" t="s">
        <v>86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9">
        <f t="shared" si="1"/>
        <v>9</v>
      </c>
      <c r="B27" s="8" t="s">
        <v>257</v>
      </c>
      <c r="C27" s="8" t="s">
        <v>242</v>
      </c>
      <c r="D27" s="11">
        <v>5.0</v>
      </c>
      <c r="E27" s="11">
        <v>5.0</v>
      </c>
      <c r="F27" s="11">
        <v>1.0</v>
      </c>
      <c r="G27" s="11">
        <v>1.0</v>
      </c>
      <c r="H27" s="11">
        <v>3.0</v>
      </c>
      <c r="I27" s="12">
        <f t="shared" si="2"/>
        <v>15</v>
      </c>
      <c r="J27" s="8" t="s">
        <v>271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9">
        <f t="shared" si="1"/>
        <v>21</v>
      </c>
      <c r="B28" s="8" t="s">
        <v>261</v>
      </c>
      <c r="C28" s="8" t="s">
        <v>242</v>
      </c>
      <c r="D28" s="11">
        <v>5.0</v>
      </c>
      <c r="E28" s="11">
        <v>2.0</v>
      </c>
      <c r="F28" s="11">
        <v>1.0</v>
      </c>
      <c r="G28" s="11">
        <v>1.0</v>
      </c>
      <c r="H28" s="11">
        <v>3.0</v>
      </c>
      <c r="I28" s="12">
        <f t="shared" si="2"/>
        <v>12</v>
      </c>
      <c r="J28" s="8" t="s">
        <v>86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9">
        <f t="shared" si="1"/>
        <v>21</v>
      </c>
      <c r="B29" s="8" t="s">
        <v>266</v>
      </c>
      <c r="C29" s="8" t="s">
        <v>301</v>
      </c>
      <c r="D29" s="11">
        <v>5.0</v>
      </c>
      <c r="E29" s="11">
        <v>1.0</v>
      </c>
      <c r="F29" s="11">
        <v>1.0</v>
      </c>
      <c r="G29" s="11">
        <v>1.0</v>
      </c>
      <c r="H29" s="11">
        <v>4.0</v>
      </c>
      <c r="I29" s="12">
        <f t="shared" si="2"/>
        <v>12</v>
      </c>
      <c r="J29" s="8" t="s">
        <v>282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9">
        <f t="shared" si="1"/>
        <v>32</v>
      </c>
      <c r="B30" s="8" t="s">
        <v>272</v>
      </c>
      <c r="C30" s="8" t="s">
        <v>301</v>
      </c>
      <c r="D30" s="11">
        <v>5.0</v>
      </c>
      <c r="E30" s="11">
        <v>1.0</v>
      </c>
      <c r="F30" s="11">
        <v>1.0</v>
      </c>
      <c r="G30" s="11">
        <v>1.0</v>
      </c>
      <c r="H30" s="11">
        <v>2.0</v>
      </c>
      <c r="I30" s="12">
        <f t="shared" si="2"/>
        <v>10</v>
      </c>
      <c r="J30" s="8" t="s">
        <v>290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9">
        <f t="shared" si="1"/>
        <v>26</v>
      </c>
      <c r="B31" s="8" t="s">
        <v>293</v>
      </c>
      <c r="C31" s="8" t="s">
        <v>301</v>
      </c>
      <c r="D31" s="11">
        <v>5.0</v>
      </c>
      <c r="E31" s="11">
        <v>3.0</v>
      </c>
      <c r="F31" s="11">
        <v>1.0</v>
      </c>
      <c r="G31" s="11">
        <v>1.0</v>
      </c>
      <c r="H31" s="11">
        <v>1.0</v>
      </c>
      <c r="I31" s="12">
        <f t="shared" si="2"/>
        <v>11</v>
      </c>
      <c r="J31" s="8" t="s">
        <v>86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>
        <f t="shared" si="1"/>
        <v>34</v>
      </c>
      <c r="B32" s="8" t="s">
        <v>300</v>
      </c>
      <c r="C32" s="8" t="s">
        <v>301</v>
      </c>
      <c r="D32" s="11">
        <v>5.0</v>
      </c>
      <c r="E32" s="11">
        <v>1.0</v>
      </c>
      <c r="F32" s="11">
        <v>1.0</v>
      </c>
      <c r="G32" s="11">
        <v>1.0</v>
      </c>
      <c r="H32" s="11">
        <v>1.0</v>
      </c>
      <c r="I32" s="12">
        <f t="shared" si="2"/>
        <v>9</v>
      </c>
      <c r="J32" s="8" t="s">
        <v>86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9">
        <f t="shared" si="1"/>
        <v>9</v>
      </c>
      <c r="B33" s="8" t="s">
        <v>275</v>
      </c>
      <c r="C33" s="8" t="s">
        <v>305</v>
      </c>
      <c r="D33" s="11">
        <v>5.0</v>
      </c>
      <c r="E33" s="11">
        <v>5.0</v>
      </c>
      <c r="F33" s="11">
        <v>1.0</v>
      </c>
      <c r="G33" s="11">
        <v>1.0</v>
      </c>
      <c r="H33" s="11">
        <v>3.0</v>
      </c>
      <c r="I33" s="12">
        <f t="shared" si="2"/>
        <v>15</v>
      </c>
      <c r="J33" s="8" t="s">
        <v>308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9">
        <f t="shared" si="1"/>
        <v>16</v>
      </c>
      <c r="B34" s="8" t="s">
        <v>311</v>
      </c>
      <c r="C34" s="8" t="s">
        <v>305</v>
      </c>
      <c r="D34" s="11">
        <v>5.0</v>
      </c>
      <c r="E34" s="11">
        <v>3.0</v>
      </c>
      <c r="F34" s="11">
        <v>1.0</v>
      </c>
      <c r="G34" s="11">
        <v>1.0</v>
      </c>
      <c r="H34" s="11">
        <v>3.0</v>
      </c>
      <c r="I34" s="12">
        <f t="shared" si="2"/>
        <v>13</v>
      </c>
      <c r="J34" s="8" t="s">
        <v>86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9">
        <f t="shared" si="1"/>
        <v>12</v>
      </c>
      <c r="B35" s="8" t="s">
        <v>279</v>
      </c>
      <c r="C35" s="8" t="s">
        <v>305</v>
      </c>
      <c r="D35" s="11">
        <v>5.0</v>
      </c>
      <c r="E35" s="11">
        <v>5.0</v>
      </c>
      <c r="F35" s="11">
        <v>1.0</v>
      </c>
      <c r="G35" s="11">
        <v>1.0</v>
      </c>
      <c r="H35" s="11">
        <v>2.0</v>
      </c>
      <c r="I35" s="12">
        <f t="shared" si="2"/>
        <v>14</v>
      </c>
      <c r="J35" s="8" t="s">
        <v>86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9">
        <f t="shared" si="1"/>
        <v>34</v>
      </c>
      <c r="B36" s="8" t="s">
        <v>284</v>
      </c>
      <c r="C36" s="8" t="s">
        <v>305</v>
      </c>
      <c r="D36" s="11">
        <v>3.0</v>
      </c>
      <c r="E36" s="11">
        <v>2.0</v>
      </c>
      <c r="F36" s="11">
        <v>1.0</v>
      </c>
      <c r="G36" s="11">
        <v>1.0</v>
      </c>
      <c r="H36" s="11">
        <v>2.0</v>
      </c>
      <c r="I36" s="12">
        <f t="shared" si="2"/>
        <v>9</v>
      </c>
      <c r="J36" s="8" t="s">
        <v>86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9">
        <f t="shared" si="1"/>
        <v>5</v>
      </c>
      <c r="B37" s="8" t="s">
        <v>291</v>
      </c>
      <c r="C37" s="8" t="s">
        <v>318</v>
      </c>
      <c r="D37" s="11">
        <v>5.0</v>
      </c>
      <c r="E37" s="11">
        <v>5.0</v>
      </c>
      <c r="F37" s="11">
        <v>1.0</v>
      </c>
      <c r="G37" s="11">
        <v>1.0</v>
      </c>
      <c r="H37" s="11">
        <v>4.0</v>
      </c>
      <c r="I37" s="12">
        <f t="shared" si="2"/>
        <v>16</v>
      </c>
      <c r="J37" s="8" t="s">
        <v>323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9">
        <f t="shared" si="1"/>
        <v>34</v>
      </c>
      <c r="B38" s="8" t="s">
        <v>298</v>
      </c>
      <c r="C38" s="8" t="s">
        <v>318</v>
      </c>
      <c r="D38" s="11">
        <v>5.0</v>
      </c>
      <c r="E38" s="11">
        <v>1.0</v>
      </c>
      <c r="F38" s="11">
        <v>1.0</v>
      </c>
      <c r="G38" s="11">
        <v>1.0</v>
      </c>
      <c r="H38" s="11">
        <v>1.0</v>
      </c>
      <c r="I38" s="12">
        <f t="shared" si="2"/>
        <v>9</v>
      </c>
      <c r="J38" s="8" t="s">
        <v>86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9">
        <f t="shared" si="1"/>
        <v>26</v>
      </c>
      <c r="B39" s="8" t="s">
        <v>303</v>
      </c>
      <c r="C39" s="8" t="s">
        <v>329</v>
      </c>
      <c r="D39" s="11">
        <v>3.0</v>
      </c>
      <c r="E39" s="11">
        <v>2.0</v>
      </c>
      <c r="F39" s="11">
        <v>1.0</v>
      </c>
      <c r="G39" s="11">
        <v>1.0</v>
      </c>
      <c r="H39" s="11">
        <v>4.0</v>
      </c>
      <c r="I39" s="12">
        <f t="shared" si="2"/>
        <v>11</v>
      </c>
      <c r="J39" s="8" t="s">
        <v>334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9">
        <f t="shared" si="1"/>
        <v>5</v>
      </c>
      <c r="B40" s="8" t="s">
        <v>309</v>
      </c>
      <c r="C40" s="8" t="s">
        <v>335</v>
      </c>
      <c r="D40" s="11">
        <v>5.0</v>
      </c>
      <c r="E40" s="11">
        <v>4.0</v>
      </c>
      <c r="F40" s="11">
        <v>1.0</v>
      </c>
      <c r="G40" s="11">
        <v>1.0</v>
      </c>
      <c r="H40" s="11">
        <v>5.0</v>
      </c>
      <c r="I40" s="12">
        <f t="shared" si="2"/>
        <v>16</v>
      </c>
      <c r="J40" s="8" t="s">
        <v>340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0" customHeight="1">
      <c r="A41" s="9">
        <f t="shared" si="1"/>
        <v>34</v>
      </c>
      <c r="B41" s="8" t="s">
        <v>313</v>
      </c>
      <c r="C41" s="8" t="s">
        <v>335</v>
      </c>
      <c r="D41" s="11">
        <v>5.0</v>
      </c>
      <c r="E41" s="11">
        <v>1.0</v>
      </c>
      <c r="F41" s="11">
        <v>1.0</v>
      </c>
      <c r="G41" s="11">
        <v>1.0</v>
      </c>
      <c r="H41" s="11">
        <v>1.0</v>
      </c>
      <c r="I41" s="12">
        <f t="shared" si="2"/>
        <v>9</v>
      </c>
      <c r="J41" s="8" t="s">
        <v>86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0" customHeight="1">
      <c r="A42" s="9">
        <f t="shared" si="1"/>
        <v>5</v>
      </c>
      <c r="B42" s="8" t="s">
        <v>347</v>
      </c>
      <c r="C42" s="8" t="s">
        <v>335</v>
      </c>
      <c r="D42" s="11">
        <v>5.0</v>
      </c>
      <c r="E42" s="11">
        <v>5.0</v>
      </c>
      <c r="F42" s="11">
        <v>1.0</v>
      </c>
      <c r="G42" s="11">
        <v>1.0</v>
      </c>
      <c r="H42" s="11">
        <v>4.0</v>
      </c>
      <c r="I42" s="12">
        <f t="shared" si="2"/>
        <v>16</v>
      </c>
      <c r="J42" s="8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0" customHeight="1">
      <c r="A43" s="9">
        <f t="shared" si="1"/>
        <v>16</v>
      </c>
      <c r="B43" s="8" t="s">
        <v>319</v>
      </c>
      <c r="C43" s="8" t="s">
        <v>387</v>
      </c>
      <c r="D43" s="11">
        <v>5.0</v>
      </c>
      <c r="E43" s="11">
        <v>3.0</v>
      </c>
      <c r="F43" s="11">
        <v>1.0</v>
      </c>
      <c r="G43" s="11">
        <v>1.0</v>
      </c>
      <c r="H43" s="11">
        <v>3.0</v>
      </c>
      <c r="I43" s="12">
        <f t="shared" si="2"/>
        <v>13</v>
      </c>
      <c r="J43" s="8" t="s">
        <v>86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8.75" customHeight="1">
      <c r="A44" s="9">
        <f t="shared" si="1"/>
        <v>4</v>
      </c>
      <c r="B44" s="8" t="s">
        <v>325</v>
      </c>
      <c r="C44" s="8" t="s">
        <v>388</v>
      </c>
      <c r="D44" s="11">
        <v>5.0</v>
      </c>
      <c r="E44" s="11">
        <v>3.0</v>
      </c>
      <c r="F44" s="11">
        <v>3.0</v>
      </c>
      <c r="G44" s="11">
        <v>1.0</v>
      </c>
      <c r="H44" s="11">
        <v>4.0</v>
      </c>
      <c r="I44" s="12">
        <f t="shared" si="2"/>
        <v>16</v>
      </c>
      <c r="J44" s="8" t="s">
        <v>363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0" customHeight="1">
      <c r="A45" s="9">
        <f t="shared" si="1"/>
        <v>12</v>
      </c>
      <c r="B45" s="8" t="s">
        <v>342</v>
      </c>
      <c r="C45" s="8" t="s">
        <v>365</v>
      </c>
      <c r="D45" s="11">
        <v>5.0</v>
      </c>
      <c r="E45" s="11">
        <v>3.0</v>
      </c>
      <c r="F45" s="11">
        <v>1.0</v>
      </c>
      <c r="G45" s="11">
        <v>1.0</v>
      </c>
      <c r="H45" s="11">
        <v>4.0</v>
      </c>
      <c r="I45" s="12">
        <f t="shared" si="2"/>
        <v>14</v>
      </c>
      <c r="J45" s="8" t="s">
        <v>86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0" customHeight="1">
      <c r="A46" s="9">
        <f t="shared" si="1"/>
        <v>9</v>
      </c>
      <c r="B46" s="8" t="s">
        <v>344</v>
      </c>
      <c r="C46" s="8" t="s">
        <v>365</v>
      </c>
      <c r="D46" s="11">
        <v>5.0</v>
      </c>
      <c r="E46" s="11">
        <v>4.0</v>
      </c>
      <c r="F46" s="11">
        <v>1.0</v>
      </c>
      <c r="G46" s="11">
        <v>1.0</v>
      </c>
      <c r="H46" s="11">
        <v>4.0</v>
      </c>
      <c r="I46" s="12">
        <f t="shared" si="2"/>
        <v>15</v>
      </c>
      <c r="J46" s="8" t="s">
        <v>86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57.0" customHeight="1">
      <c r="A47" s="9">
        <f t="shared" si="1"/>
        <v>26</v>
      </c>
      <c r="B47" s="8" t="s">
        <v>372</v>
      </c>
      <c r="C47" s="8" t="s">
        <v>394</v>
      </c>
      <c r="D47" s="11">
        <v>5.0</v>
      </c>
      <c r="E47" s="11">
        <v>2.0</v>
      </c>
      <c r="F47" s="11">
        <v>1.0</v>
      </c>
      <c r="G47" s="11">
        <v>1.0</v>
      </c>
      <c r="H47" s="11">
        <v>2.0</v>
      </c>
      <c r="I47" s="12">
        <f t="shared" si="2"/>
        <v>11</v>
      </c>
      <c r="J47" s="8" t="s">
        <v>377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0" customHeight="1">
      <c r="A50" s="4"/>
      <c r="B50" s="16" t="s">
        <v>395</v>
      </c>
      <c r="C50" s="2"/>
      <c r="D50" s="2"/>
      <c r="E50" s="2"/>
      <c r="F50" s="2"/>
      <c r="G50" s="2"/>
      <c r="H50" s="2"/>
      <c r="I50" s="2"/>
      <c r="J50" s="3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8.75" customHeight="1">
      <c r="A51" s="8"/>
      <c r="B51" s="8" t="s">
        <v>396</v>
      </c>
      <c r="C51" s="8"/>
      <c r="D51" s="8"/>
      <c r="E51" s="8"/>
      <c r="F51" s="8"/>
      <c r="G51" s="8"/>
      <c r="H51" s="8"/>
      <c r="I51" s="8"/>
      <c r="J51" s="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05.0" customHeight="1">
      <c r="A52" s="8"/>
      <c r="B52" s="8" t="s">
        <v>397</v>
      </c>
      <c r="C52" s="8"/>
      <c r="D52" s="8"/>
      <c r="E52" s="8"/>
      <c r="F52" s="8"/>
      <c r="G52" s="8"/>
      <c r="H52" s="8"/>
      <c r="I52" s="8"/>
      <c r="J52" s="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0" customHeight="1">
      <c r="A53" s="8"/>
      <c r="B53" s="8" t="s">
        <v>398</v>
      </c>
      <c r="C53" s="8"/>
      <c r="D53" s="8"/>
      <c r="E53" s="8"/>
      <c r="F53" s="8"/>
      <c r="G53" s="8"/>
      <c r="H53" s="8"/>
      <c r="I53" s="8"/>
      <c r="J53" s="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57.0" customHeight="1">
      <c r="A54" s="8"/>
      <c r="B54" s="8" t="s">
        <v>399</v>
      </c>
      <c r="C54" s="8"/>
      <c r="D54" s="8"/>
      <c r="E54" s="8"/>
      <c r="F54" s="8"/>
      <c r="G54" s="8"/>
      <c r="H54" s="8"/>
      <c r="I54" s="8"/>
      <c r="J54" s="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8.5" customHeight="1">
      <c r="A55" s="8"/>
      <c r="B55" s="8" t="s">
        <v>400</v>
      </c>
      <c r="C55" s="8"/>
      <c r="D55" s="8"/>
      <c r="E55" s="8"/>
      <c r="F55" s="8"/>
      <c r="G55" s="8"/>
      <c r="H55" s="8"/>
      <c r="I55" s="8"/>
      <c r="J55" s="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0" customHeight="1">
      <c r="A56" s="8"/>
      <c r="B56" s="8" t="s">
        <v>401</v>
      </c>
      <c r="C56" s="8"/>
      <c r="D56" s="8"/>
      <c r="E56" s="8"/>
      <c r="F56" s="8"/>
      <c r="G56" s="8"/>
      <c r="H56" s="8"/>
      <c r="I56" s="8"/>
      <c r="J56" s="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8.25" customHeight="1">
      <c r="A57" s="8"/>
      <c r="B57" s="8" t="s">
        <v>402</v>
      </c>
      <c r="C57" s="8"/>
      <c r="D57" s="8"/>
      <c r="E57" s="8"/>
      <c r="F57" s="8"/>
      <c r="G57" s="8"/>
      <c r="H57" s="8"/>
      <c r="I57" s="8"/>
      <c r="J57" s="8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8.25" customHeight="1">
      <c r="A58" s="8"/>
      <c r="B58" s="8" t="s">
        <v>403</v>
      </c>
      <c r="C58" s="8"/>
      <c r="D58" s="8"/>
      <c r="E58" s="8"/>
      <c r="F58" s="8"/>
      <c r="G58" s="8"/>
      <c r="H58" s="8"/>
      <c r="I58" s="8"/>
      <c r="J58" s="8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8.0" customHeight="1">
      <c r="A59" s="8"/>
      <c r="B59" s="8" t="s">
        <v>404</v>
      </c>
      <c r="C59" s="8"/>
      <c r="D59" s="8"/>
      <c r="E59" s="8"/>
      <c r="F59" s="8"/>
      <c r="G59" s="8"/>
      <c r="H59" s="8"/>
      <c r="I59" s="8"/>
      <c r="J59" s="8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8.25" customHeight="1">
      <c r="A60" s="8"/>
      <c r="B60" s="8" t="s">
        <v>405</v>
      </c>
      <c r="C60" s="8"/>
      <c r="D60" s="8"/>
      <c r="E60" s="8"/>
      <c r="F60" s="8"/>
      <c r="G60" s="8"/>
      <c r="H60" s="8"/>
      <c r="I60" s="8"/>
      <c r="J60" s="8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J1"/>
    <mergeCell ref="A2:J2"/>
    <mergeCell ref="B50:J50"/>
  </mergeCells>
  <conditionalFormatting sqref="D5:H4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>
    <dataValidation type="list" allowBlank="1" sqref="D5:H47">
      <formula1>"1,2,3,4,5"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6.0"/>
    <col customWidth="1" min="3" max="3" width="19.0"/>
    <col customWidth="1" min="4" max="4" width="25.0"/>
    <col customWidth="1" min="5" max="5" width="30.0"/>
    <col customWidth="1" min="6" max="7" width="31.0"/>
    <col customWidth="1" min="8" max="8" width="27.0"/>
    <col customWidth="1" min="9" max="11" width="34.0"/>
    <col customWidth="1" min="12" max="26" width="8.63"/>
  </cols>
  <sheetData>
    <row r="1" ht="21.7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6" t="s">
        <v>5</v>
      </c>
      <c r="B2" s="2"/>
      <c r="C2" s="2"/>
      <c r="D2" s="2"/>
      <c r="E2" s="2"/>
      <c r="F2" s="2"/>
      <c r="G2" s="2"/>
      <c r="H2" s="2"/>
      <c r="I2" s="2"/>
      <c r="J2" s="2"/>
      <c r="K2" s="3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7" t="s">
        <v>10</v>
      </c>
      <c r="B4" s="7" t="s">
        <v>11</v>
      </c>
      <c r="C4" s="7" t="s">
        <v>12</v>
      </c>
      <c r="D4" s="7" t="s">
        <v>14</v>
      </c>
      <c r="E4" s="7" t="s">
        <v>15</v>
      </c>
      <c r="F4" s="7" t="s">
        <v>16</v>
      </c>
      <c r="G4" s="7" t="s">
        <v>18</v>
      </c>
      <c r="H4" s="7" t="s">
        <v>19</v>
      </c>
      <c r="I4" s="7" t="s">
        <v>20</v>
      </c>
      <c r="J4" s="7" t="s">
        <v>21</v>
      </c>
      <c r="K4" s="7" t="s">
        <v>22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0" customHeight="1">
      <c r="A5" s="8" t="s">
        <v>26</v>
      </c>
      <c r="B5" s="8" t="s">
        <v>29</v>
      </c>
      <c r="C5" s="8" t="s">
        <v>31</v>
      </c>
      <c r="D5" s="8" t="s">
        <v>34</v>
      </c>
      <c r="E5" s="8" t="s">
        <v>39</v>
      </c>
      <c r="F5" s="8" t="s">
        <v>42</v>
      </c>
      <c r="G5" s="8" t="s">
        <v>45</v>
      </c>
      <c r="H5" s="8" t="s">
        <v>46</v>
      </c>
      <c r="I5" s="8" t="s">
        <v>47</v>
      </c>
      <c r="J5" s="8" t="s">
        <v>53</v>
      </c>
      <c r="K5" s="8" t="s">
        <v>49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8" t="s">
        <v>56</v>
      </c>
      <c r="B6" s="8" t="s">
        <v>58</v>
      </c>
      <c r="C6" s="8" t="s">
        <v>59</v>
      </c>
      <c r="D6" s="8" t="s">
        <v>60</v>
      </c>
      <c r="E6" s="8" t="s">
        <v>61</v>
      </c>
      <c r="F6" s="8" t="s">
        <v>63</v>
      </c>
      <c r="G6" s="8" t="s">
        <v>66</v>
      </c>
      <c r="H6" s="8" t="s">
        <v>68</v>
      </c>
      <c r="I6" s="8" t="s">
        <v>69</v>
      </c>
      <c r="J6" s="8" t="s">
        <v>70</v>
      </c>
      <c r="K6" s="8" t="s">
        <v>57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8" t="s">
        <v>64</v>
      </c>
      <c r="B7" s="8" t="s">
        <v>75</v>
      </c>
      <c r="C7" s="8" t="s">
        <v>59</v>
      </c>
      <c r="D7" s="8" t="s">
        <v>76</v>
      </c>
      <c r="E7" s="8" t="s">
        <v>77</v>
      </c>
      <c r="F7" s="8" t="s">
        <v>78</v>
      </c>
      <c r="G7" s="8" t="s">
        <v>66</v>
      </c>
      <c r="H7" s="8" t="s">
        <v>79</v>
      </c>
      <c r="I7" s="8" t="s">
        <v>80</v>
      </c>
      <c r="J7" s="8" t="s">
        <v>70</v>
      </c>
      <c r="K7" s="8" t="s">
        <v>67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75" customHeight="1">
      <c r="A8" s="8" t="s">
        <v>73</v>
      </c>
      <c r="B8" s="8" t="s">
        <v>75</v>
      </c>
      <c r="C8" s="8" t="s">
        <v>59</v>
      </c>
      <c r="D8" s="8" t="s">
        <v>76</v>
      </c>
      <c r="E8" s="8" t="s">
        <v>83</v>
      </c>
      <c r="F8" s="8" t="s">
        <v>84</v>
      </c>
      <c r="G8" s="8" t="s">
        <v>66</v>
      </c>
      <c r="H8" s="8" t="s">
        <v>85</v>
      </c>
      <c r="I8" s="8" t="s">
        <v>86</v>
      </c>
      <c r="J8" s="8" t="s">
        <v>70</v>
      </c>
      <c r="K8" s="8" t="s">
        <v>74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75" customHeight="1">
      <c r="A9" s="8" t="s">
        <v>81</v>
      </c>
      <c r="B9" s="8" t="s">
        <v>89</v>
      </c>
      <c r="C9" s="8" t="s">
        <v>91</v>
      </c>
      <c r="D9" s="8" t="s">
        <v>93</v>
      </c>
      <c r="E9" s="8" t="s">
        <v>93</v>
      </c>
      <c r="F9" s="8" t="s">
        <v>94</v>
      </c>
      <c r="G9" s="8" t="s">
        <v>93</v>
      </c>
      <c r="H9" s="8" t="s">
        <v>95</v>
      </c>
      <c r="I9" s="8" t="s">
        <v>96</v>
      </c>
      <c r="J9" s="8" t="s">
        <v>70</v>
      </c>
      <c r="K9" s="8" t="s">
        <v>82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75" customHeight="1">
      <c r="A10" s="8" t="s">
        <v>87</v>
      </c>
      <c r="B10" s="8" t="s">
        <v>97</v>
      </c>
      <c r="C10" s="8" t="s">
        <v>59</v>
      </c>
      <c r="D10" s="8" t="s">
        <v>98</v>
      </c>
      <c r="E10" s="8" t="s">
        <v>99</v>
      </c>
      <c r="F10" s="8" t="s">
        <v>100</v>
      </c>
      <c r="G10" s="8" t="s">
        <v>66</v>
      </c>
      <c r="H10" s="8" t="s">
        <v>101</v>
      </c>
      <c r="I10" s="8" t="s">
        <v>102</v>
      </c>
      <c r="J10" s="8" t="s">
        <v>70</v>
      </c>
      <c r="K10" s="8" t="s">
        <v>88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8" t="s">
        <v>106</v>
      </c>
      <c r="B11" s="8" t="s">
        <v>107</v>
      </c>
      <c r="C11" s="8" t="s">
        <v>31</v>
      </c>
      <c r="D11" s="8" t="s">
        <v>34</v>
      </c>
      <c r="E11" s="8" t="s">
        <v>109</v>
      </c>
      <c r="F11" s="8" t="s">
        <v>110</v>
      </c>
      <c r="G11" s="8" t="s">
        <v>66</v>
      </c>
      <c r="H11" s="8" t="s">
        <v>112</v>
      </c>
      <c r="I11" s="8" t="s">
        <v>113</v>
      </c>
      <c r="J11" s="8" t="s">
        <v>70</v>
      </c>
      <c r="K11" s="8" t="s">
        <v>114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75" customHeight="1">
      <c r="A12" s="8" t="s">
        <v>119</v>
      </c>
      <c r="B12" s="8" t="s">
        <v>120</v>
      </c>
      <c r="C12" s="8" t="s">
        <v>31</v>
      </c>
      <c r="D12" s="8" t="s">
        <v>123</v>
      </c>
      <c r="E12" s="8" t="s">
        <v>125</v>
      </c>
      <c r="F12" s="8" t="s">
        <v>110</v>
      </c>
      <c r="G12" s="8" t="s">
        <v>126</v>
      </c>
      <c r="H12" s="8" t="s">
        <v>127</v>
      </c>
      <c r="I12" s="8" t="s">
        <v>128</v>
      </c>
      <c r="J12" s="8" t="s">
        <v>70</v>
      </c>
      <c r="K12" s="8" t="s">
        <v>129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8.25" customHeight="1">
      <c r="A13" s="8" t="s">
        <v>133</v>
      </c>
      <c r="B13" s="8" t="s">
        <v>134</v>
      </c>
      <c r="C13" s="8" t="s">
        <v>31</v>
      </c>
      <c r="D13" s="8" t="s">
        <v>34</v>
      </c>
      <c r="E13" s="8" t="s">
        <v>135</v>
      </c>
      <c r="F13" s="8" t="s">
        <v>110</v>
      </c>
      <c r="G13" s="8" t="s">
        <v>66</v>
      </c>
      <c r="H13" s="8" t="s">
        <v>137</v>
      </c>
      <c r="I13" s="8" t="s">
        <v>138</v>
      </c>
      <c r="J13" s="8" t="s">
        <v>139</v>
      </c>
      <c r="K13" s="8" t="s">
        <v>136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8" t="s">
        <v>141</v>
      </c>
      <c r="B14" s="8" t="s">
        <v>155</v>
      </c>
      <c r="C14" s="8" t="s">
        <v>31</v>
      </c>
      <c r="D14" s="8" t="s">
        <v>156</v>
      </c>
      <c r="E14" s="8" t="s">
        <v>158</v>
      </c>
      <c r="F14" s="8" t="s">
        <v>110</v>
      </c>
      <c r="G14" s="8" t="s">
        <v>161</v>
      </c>
      <c r="H14" s="8" t="s">
        <v>163</v>
      </c>
      <c r="I14" s="8" t="s">
        <v>165</v>
      </c>
      <c r="J14" s="8" t="s">
        <v>70</v>
      </c>
      <c r="K14" s="8" t="s">
        <v>142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75" customHeight="1">
      <c r="A15" s="8" t="s">
        <v>145</v>
      </c>
      <c r="B15" s="8" t="s">
        <v>171</v>
      </c>
      <c r="C15" s="8" t="s">
        <v>91</v>
      </c>
      <c r="D15" s="8" t="s">
        <v>172</v>
      </c>
      <c r="E15" s="8" t="s">
        <v>173</v>
      </c>
      <c r="F15" s="8" t="s">
        <v>110</v>
      </c>
      <c r="G15" s="8" t="s">
        <v>66</v>
      </c>
      <c r="H15" s="8" t="s">
        <v>174</v>
      </c>
      <c r="I15" s="8" t="s">
        <v>175</v>
      </c>
      <c r="J15" s="8" t="s">
        <v>70</v>
      </c>
      <c r="K15" s="8" t="s">
        <v>146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75" customHeight="1">
      <c r="A16" s="8" t="s">
        <v>153</v>
      </c>
      <c r="B16" s="8" t="s">
        <v>178</v>
      </c>
      <c r="C16" s="8" t="s">
        <v>59</v>
      </c>
      <c r="D16" s="8" t="s">
        <v>179</v>
      </c>
      <c r="E16" s="8" t="s">
        <v>180</v>
      </c>
      <c r="F16" s="8" t="s">
        <v>110</v>
      </c>
      <c r="G16" s="8" t="s">
        <v>66</v>
      </c>
      <c r="H16" s="8" t="s">
        <v>183</v>
      </c>
      <c r="I16" s="8" t="s">
        <v>185</v>
      </c>
      <c r="J16" s="8" t="s">
        <v>70</v>
      </c>
      <c r="K16" s="8" t="s">
        <v>154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75" customHeight="1">
      <c r="A17" s="8" t="s">
        <v>186</v>
      </c>
      <c r="B17" s="8" t="s">
        <v>187</v>
      </c>
      <c r="C17" s="8" t="s">
        <v>59</v>
      </c>
      <c r="D17" s="8" t="s">
        <v>189</v>
      </c>
      <c r="E17" s="8" t="s">
        <v>99</v>
      </c>
      <c r="F17" s="8" t="s">
        <v>110</v>
      </c>
      <c r="G17" s="8" t="s">
        <v>66</v>
      </c>
      <c r="H17" s="8" t="s">
        <v>192</v>
      </c>
      <c r="I17" s="8" t="s">
        <v>86</v>
      </c>
      <c r="J17" s="8" t="s">
        <v>70</v>
      </c>
      <c r="K17" s="8" t="s">
        <v>154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75" customHeight="1">
      <c r="A18" s="8" t="s">
        <v>194</v>
      </c>
      <c r="B18" s="8" t="s">
        <v>195</v>
      </c>
      <c r="C18" s="8" t="s">
        <v>91</v>
      </c>
      <c r="D18" s="8" t="s">
        <v>196</v>
      </c>
      <c r="E18" s="8" t="s">
        <v>198</v>
      </c>
      <c r="F18" s="8" t="s">
        <v>110</v>
      </c>
      <c r="G18" s="8" t="s">
        <v>66</v>
      </c>
      <c r="H18" s="8" t="s">
        <v>202</v>
      </c>
      <c r="I18" s="8" t="s">
        <v>86</v>
      </c>
      <c r="J18" s="8" t="s">
        <v>70</v>
      </c>
      <c r="K18" s="8" t="s">
        <v>154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75" customHeight="1">
      <c r="A19" s="8" t="s">
        <v>162</v>
      </c>
      <c r="B19" s="8" t="s">
        <v>205</v>
      </c>
      <c r="C19" s="8" t="s">
        <v>59</v>
      </c>
      <c r="D19" s="8" t="s">
        <v>207</v>
      </c>
      <c r="E19" s="8" t="s">
        <v>208</v>
      </c>
      <c r="F19" s="8" t="s">
        <v>110</v>
      </c>
      <c r="G19" s="8" t="s">
        <v>66</v>
      </c>
      <c r="H19" s="8" t="s">
        <v>210</v>
      </c>
      <c r="I19" s="8" t="s">
        <v>86</v>
      </c>
      <c r="J19" s="8" t="s">
        <v>70</v>
      </c>
      <c r="K19" s="8" t="s">
        <v>164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75" customHeight="1">
      <c r="A20" s="8" t="s">
        <v>169</v>
      </c>
      <c r="B20" s="8" t="s">
        <v>214</v>
      </c>
      <c r="C20" s="8" t="s">
        <v>59</v>
      </c>
      <c r="D20" s="8" t="s">
        <v>98</v>
      </c>
      <c r="E20" s="8" t="s">
        <v>99</v>
      </c>
      <c r="F20" s="8" t="s">
        <v>110</v>
      </c>
      <c r="G20" s="8" t="s">
        <v>66</v>
      </c>
      <c r="H20" s="8" t="s">
        <v>220</v>
      </c>
      <c r="I20" s="8" t="s">
        <v>86</v>
      </c>
      <c r="J20" s="8" t="s">
        <v>70</v>
      </c>
      <c r="K20" s="8" t="s">
        <v>170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75" customHeight="1">
      <c r="A21" s="8" t="s">
        <v>176</v>
      </c>
      <c r="B21" s="8" t="s">
        <v>225</v>
      </c>
      <c r="C21" s="8" t="s">
        <v>59</v>
      </c>
      <c r="D21" s="8" t="s">
        <v>227</v>
      </c>
      <c r="E21" s="8" t="s">
        <v>99</v>
      </c>
      <c r="F21" s="8" t="s">
        <v>110</v>
      </c>
      <c r="G21" s="8" t="s">
        <v>66</v>
      </c>
      <c r="H21" s="8" t="s">
        <v>228</v>
      </c>
      <c r="I21" s="8" t="s">
        <v>86</v>
      </c>
      <c r="J21" s="8" t="s">
        <v>70</v>
      </c>
      <c r="K21" s="8" t="s">
        <v>177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75" customHeight="1">
      <c r="A22" s="8" t="s">
        <v>182</v>
      </c>
      <c r="B22" s="8" t="s">
        <v>234</v>
      </c>
      <c r="C22" s="8" t="s">
        <v>91</v>
      </c>
      <c r="D22" s="8" t="s">
        <v>235</v>
      </c>
      <c r="E22" s="8" t="s">
        <v>208</v>
      </c>
      <c r="F22" s="8" t="s">
        <v>110</v>
      </c>
      <c r="G22" s="8" t="s">
        <v>66</v>
      </c>
      <c r="H22" s="8" t="s">
        <v>236</v>
      </c>
      <c r="I22" s="8" t="s">
        <v>86</v>
      </c>
      <c r="J22" s="8" t="s">
        <v>70</v>
      </c>
      <c r="K22" s="8" t="s">
        <v>184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8" t="s">
        <v>188</v>
      </c>
      <c r="B23" s="8" t="s">
        <v>242</v>
      </c>
      <c r="C23" s="8" t="s">
        <v>31</v>
      </c>
      <c r="D23" s="8" t="s">
        <v>243</v>
      </c>
      <c r="E23" s="8" t="s">
        <v>245</v>
      </c>
      <c r="F23" s="8" t="s">
        <v>110</v>
      </c>
      <c r="G23" s="8" t="s">
        <v>66</v>
      </c>
      <c r="H23" s="8" t="s">
        <v>247</v>
      </c>
      <c r="I23" s="8" t="s">
        <v>248</v>
      </c>
      <c r="J23" s="8" t="s">
        <v>249</v>
      </c>
      <c r="K23" s="8" t="s">
        <v>190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75" customHeight="1">
      <c r="A24" s="8" t="s">
        <v>203</v>
      </c>
      <c r="B24" s="8" t="s">
        <v>242</v>
      </c>
      <c r="C24" s="8" t="s">
        <v>31</v>
      </c>
      <c r="D24" s="8" t="s">
        <v>252</v>
      </c>
      <c r="E24" s="8" t="s">
        <v>253</v>
      </c>
      <c r="F24" s="8" t="s">
        <v>110</v>
      </c>
      <c r="G24" s="8" t="s">
        <v>66</v>
      </c>
      <c r="H24" s="8" t="s">
        <v>254</v>
      </c>
      <c r="I24" s="8" t="s">
        <v>255</v>
      </c>
      <c r="J24" s="8" t="s">
        <v>256</v>
      </c>
      <c r="K24" s="8" t="s">
        <v>206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75" customHeight="1">
      <c r="A25" s="8" t="s">
        <v>244</v>
      </c>
      <c r="B25" s="8" t="s">
        <v>259</v>
      </c>
      <c r="C25" s="8" t="s">
        <v>59</v>
      </c>
      <c r="D25" s="8" t="s">
        <v>123</v>
      </c>
      <c r="E25" s="8" t="s">
        <v>208</v>
      </c>
      <c r="F25" s="8" t="s">
        <v>110</v>
      </c>
      <c r="G25" s="8" t="s">
        <v>66</v>
      </c>
      <c r="H25" s="8" t="s">
        <v>260</v>
      </c>
      <c r="I25" s="8" t="s">
        <v>102</v>
      </c>
      <c r="J25" s="8" t="s">
        <v>70</v>
      </c>
      <c r="K25" s="8" t="s">
        <v>246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75" customHeight="1">
      <c r="A26" s="8" t="s">
        <v>250</v>
      </c>
      <c r="B26" s="8" t="s">
        <v>242</v>
      </c>
      <c r="C26" s="8" t="s">
        <v>59</v>
      </c>
      <c r="D26" s="8" t="s">
        <v>262</v>
      </c>
      <c r="E26" s="8" t="s">
        <v>264</v>
      </c>
      <c r="F26" s="8" t="s">
        <v>110</v>
      </c>
      <c r="G26" s="8" t="s">
        <v>66</v>
      </c>
      <c r="H26" s="8" t="s">
        <v>265</v>
      </c>
      <c r="I26" s="8" t="s">
        <v>86</v>
      </c>
      <c r="J26" s="8" t="s">
        <v>70</v>
      </c>
      <c r="K26" s="8" t="s">
        <v>251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75" customHeight="1">
      <c r="A27" s="8" t="s">
        <v>257</v>
      </c>
      <c r="B27" s="8" t="s">
        <v>267</v>
      </c>
      <c r="C27" s="8" t="s">
        <v>91</v>
      </c>
      <c r="D27" s="8" t="s">
        <v>262</v>
      </c>
      <c r="E27" s="8" t="s">
        <v>269</v>
      </c>
      <c r="F27" s="8" t="s">
        <v>110</v>
      </c>
      <c r="G27" s="8" t="s">
        <v>66</v>
      </c>
      <c r="H27" s="8" t="s">
        <v>270</v>
      </c>
      <c r="I27" s="8" t="s">
        <v>271</v>
      </c>
      <c r="J27" s="8" t="s">
        <v>70</v>
      </c>
      <c r="K27" s="8" t="s">
        <v>258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75" customHeight="1">
      <c r="A28" s="8" t="s">
        <v>261</v>
      </c>
      <c r="B28" s="8" t="s">
        <v>242</v>
      </c>
      <c r="C28" s="8" t="s">
        <v>91</v>
      </c>
      <c r="D28" s="8" t="s">
        <v>235</v>
      </c>
      <c r="E28" s="8" t="s">
        <v>93</v>
      </c>
      <c r="F28" s="8" t="s">
        <v>110</v>
      </c>
      <c r="G28" s="8" t="s">
        <v>66</v>
      </c>
      <c r="H28" s="8" t="s">
        <v>274</v>
      </c>
      <c r="I28" s="8" t="s">
        <v>86</v>
      </c>
      <c r="J28" s="8" t="s">
        <v>70</v>
      </c>
      <c r="K28" s="8" t="s">
        <v>263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8" t="s">
        <v>266</v>
      </c>
      <c r="B29" s="8" t="s">
        <v>277</v>
      </c>
      <c r="C29" s="8" t="s">
        <v>31</v>
      </c>
      <c r="D29" s="8" t="s">
        <v>123</v>
      </c>
      <c r="E29" s="8" t="s">
        <v>278</v>
      </c>
      <c r="F29" s="8" t="s">
        <v>110</v>
      </c>
      <c r="G29" s="8" t="s">
        <v>66</v>
      </c>
      <c r="H29" s="8" t="s">
        <v>280</v>
      </c>
      <c r="I29" s="8" t="s">
        <v>282</v>
      </c>
      <c r="J29" s="8" t="s">
        <v>283</v>
      </c>
      <c r="K29" s="8" t="s">
        <v>268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75" customHeight="1">
      <c r="A30" s="8" t="s">
        <v>272</v>
      </c>
      <c r="B30" s="8" t="s">
        <v>286</v>
      </c>
      <c r="C30" s="8" t="s">
        <v>91</v>
      </c>
      <c r="D30" s="8" t="s">
        <v>287</v>
      </c>
      <c r="E30" s="8" t="s">
        <v>288</v>
      </c>
      <c r="F30" s="8" t="s">
        <v>110</v>
      </c>
      <c r="G30" s="8" t="s">
        <v>66</v>
      </c>
      <c r="H30" s="8" t="s">
        <v>289</v>
      </c>
      <c r="I30" s="8" t="s">
        <v>290</v>
      </c>
      <c r="J30" s="8" t="s">
        <v>70</v>
      </c>
      <c r="K30" s="8" t="s">
        <v>273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75" customHeight="1">
      <c r="A31" s="8" t="s">
        <v>293</v>
      </c>
      <c r="B31" s="8" t="s">
        <v>294</v>
      </c>
      <c r="C31" s="8" t="s">
        <v>59</v>
      </c>
      <c r="D31" s="8" t="s">
        <v>295</v>
      </c>
      <c r="E31" s="8" t="s">
        <v>296</v>
      </c>
      <c r="F31" s="8" t="s">
        <v>110</v>
      </c>
      <c r="G31" s="8" t="s">
        <v>66</v>
      </c>
      <c r="H31" s="8" t="s">
        <v>297</v>
      </c>
      <c r="I31" s="8" t="s">
        <v>86</v>
      </c>
      <c r="J31" s="8" t="s">
        <v>70</v>
      </c>
      <c r="K31" s="8" t="s">
        <v>170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8" t="s">
        <v>300</v>
      </c>
      <c r="B32" s="8" t="s">
        <v>301</v>
      </c>
      <c r="C32" s="8" t="s">
        <v>59</v>
      </c>
      <c r="D32" s="8" t="s">
        <v>227</v>
      </c>
      <c r="E32" s="8" t="s">
        <v>99</v>
      </c>
      <c r="F32" s="8" t="s">
        <v>110</v>
      </c>
      <c r="G32" s="8" t="s">
        <v>66</v>
      </c>
      <c r="H32" s="8" t="s">
        <v>302</v>
      </c>
      <c r="I32" s="8" t="s">
        <v>86</v>
      </c>
      <c r="J32" s="8" t="s">
        <v>70</v>
      </c>
      <c r="K32" s="8" t="s">
        <v>170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75" customHeight="1">
      <c r="A33" s="8" t="s">
        <v>275</v>
      </c>
      <c r="B33" s="8" t="s">
        <v>305</v>
      </c>
      <c r="C33" s="8" t="s">
        <v>91</v>
      </c>
      <c r="D33" s="8" t="s">
        <v>123</v>
      </c>
      <c r="E33" s="8" t="s">
        <v>306</v>
      </c>
      <c r="F33" s="8" t="s">
        <v>110</v>
      </c>
      <c r="G33" s="8" t="s">
        <v>66</v>
      </c>
      <c r="H33" s="8" t="s">
        <v>307</v>
      </c>
      <c r="I33" s="8" t="s">
        <v>308</v>
      </c>
      <c r="J33" s="8" t="s">
        <v>70</v>
      </c>
      <c r="K33" s="8" t="s">
        <v>276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75" customHeight="1">
      <c r="A34" s="8" t="s">
        <v>311</v>
      </c>
      <c r="B34" s="8" t="s">
        <v>305</v>
      </c>
      <c r="C34" s="8" t="s">
        <v>91</v>
      </c>
      <c r="D34" s="8" t="s">
        <v>252</v>
      </c>
      <c r="E34" s="8" t="s">
        <v>208</v>
      </c>
      <c r="F34" s="8" t="s">
        <v>110</v>
      </c>
      <c r="G34" s="8" t="s">
        <v>66</v>
      </c>
      <c r="H34" s="8" t="s">
        <v>312</v>
      </c>
      <c r="I34" s="8" t="s">
        <v>86</v>
      </c>
      <c r="J34" s="8" t="s">
        <v>70</v>
      </c>
      <c r="K34" s="8" t="s">
        <v>170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75" customHeight="1">
      <c r="A35" s="8" t="s">
        <v>279</v>
      </c>
      <c r="B35" s="8" t="s">
        <v>305</v>
      </c>
      <c r="C35" s="8" t="s">
        <v>91</v>
      </c>
      <c r="D35" s="8" t="s">
        <v>262</v>
      </c>
      <c r="E35" s="8" t="s">
        <v>315</v>
      </c>
      <c r="F35" s="8" t="s">
        <v>110</v>
      </c>
      <c r="G35" s="8" t="s">
        <v>66</v>
      </c>
      <c r="H35" s="8" t="s">
        <v>316</v>
      </c>
      <c r="I35" s="8" t="s">
        <v>86</v>
      </c>
      <c r="J35" s="8" t="s">
        <v>70</v>
      </c>
      <c r="K35" s="8" t="s">
        <v>281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75" customHeight="1">
      <c r="A36" s="8" t="s">
        <v>284</v>
      </c>
      <c r="B36" s="8" t="s">
        <v>305</v>
      </c>
      <c r="C36" s="8" t="s">
        <v>91</v>
      </c>
      <c r="D36" s="8" t="s">
        <v>93</v>
      </c>
      <c r="E36" s="8" t="s">
        <v>93</v>
      </c>
      <c r="F36" s="8" t="s">
        <v>110</v>
      </c>
      <c r="G36" s="8" t="s">
        <v>66</v>
      </c>
      <c r="H36" s="8" t="s">
        <v>317</v>
      </c>
      <c r="I36" s="8" t="s">
        <v>86</v>
      </c>
      <c r="J36" s="8" t="s">
        <v>70</v>
      </c>
      <c r="K36" s="8" t="s">
        <v>285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75" customHeight="1">
      <c r="A37" s="8" t="s">
        <v>291</v>
      </c>
      <c r="B37" s="8" t="s">
        <v>318</v>
      </c>
      <c r="C37" s="8" t="s">
        <v>31</v>
      </c>
      <c r="D37" s="8" t="s">
        <v>252</v>
      </c>
      <c r="E37" s="8" t="s">
        <v>320</v>
      </c>
      <c r="F37" s="8" t="s">
        <v>110</v>
      </c>
      <c r="G37" s="8" t="s">
        <v>66</v>
      </c>
      <c r="H37" s="8" t="s">
        <v>322</v>
      </c>
      <c r="I37" s="8" t="s">
        <v>323</v>
      </c>
      <c r="J37" s="8" t="s">
        <v>324</v>
      </c>
      <c r="K37" s="8" t="s">
        <v>292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75" customHeight="1">
      <c r="A38" s="8" t="s">
        <v>298</v>
      </c>
      <c r="B38" s="8" t="s">
        <v>318</v>
      </c>
      <c r="C38" s="8" t="s">
        <v>59</v>
      </c>
      <c r="D38" s="8" t="s">
        <v>235</v>
      </c>
      <c r="E38" s="8" t="s">
        <v>327</v>
      </c>
      <c r="F38" s="8" t="s">
        <v>110</v>
      </c>
      <c r="G38" s="8" t="s">
        <v>66</v>
      </c>
      <c r="H38" s="8" t="s">
        <v>328</v>
      </c>
      <c r="I38" s="8" t="s">
        <v>86</v>
      </c>
      <c r="J38" s="8" t="s">
        <v>70</v>
      </c>
      <c r="K38" s="8" t="s">
        <v>299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8.5" customHeight="1">
      <c r="A39" s="8" t="s">
        <v>303</v>
      </c>
      <c r="B39" s="8" t="s">
        <v>329</v>
      </c>
      <c r="C39" s="8" t="s">
        <v>31</v>
      </c>
      <c r="D39" s="8" t="s">
        <v>330</v>
      </c>
      <c r="E39" s="8" t="s">
        <v>331</v>
      </c>
      <c r="F39" s="8" t="s">
        <v>110</v>
      </c>
      <c r="G39" s="8" t="s">
        <v>332</v>
      </c>
      <c r="H39" s="8" t="s">
        <v>333</v>
      </c>
      <c r="I39" s="8" t="s">
        <v>334</v>
      </c>
      <c r="J39" s="8" t="s">
        <v>70</v>
      </c>
      <c r="K39" s="8" t="s">
        <v>304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8.5" customHeight="1">
      <c r="A40" s="8" t="s">
        <v>309</v>
      </c>
      <c r="B40" s="8" t="s">
        <v>335</v>
      </c>
      <c r="C40" s="8" t="s">
        <v>31</v>
      </c>
      <c r="D40" s="8" t="s">
        <v>336</v>
      </c>
      <c r="E40" s="8" t="s">
        <v>337</v>
      </c>
      <c r="F40" s="8" t="s">
        <v>110</v>
      </c>
      <c r="G40" s="8" t="s">
        <v>338</v>
      </c>
      <c r="H40" s="8" t="s">
        <v>339</v>
      </c>
      <c r="I40" s="8" t="s">
        <v>340</v>
      </c>
      <c r="J40" s="8" t="s">
        <v>341</v>
      </c>
      <c r="K40" s="8" t="s">
        <v>310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8.75" customHeight="1">
      <c r="A41" s="8" t="s">
        <v>313</v>
      </c>
      <c r="B41" s="8" t="s">
        <v>335</v>
      </c>
      <c r="C41" s="8" t="s">
        <v>59</v>
      </c>
      <c r="D41" s="8" t="s">
        <v>235</v>
      </c>
      <c r="E41" s="8" t="s">
        <v>83</v>
      </c>
      <c r="F41" s="8" t="s">
        <v>110</v>
      </c>
      <c r="G41" s="8" t="s">
        <v>66</v>
      </c>
      <c r="H41" s="8" t="s">
        <v>345</v>
      </c>
      <c r="I41" s="8" t="s">
        <v>86</v>
      </c>
      <c r="J41" s="8" t="s">
        <v>70</v>
      </c>
      <c r="K41" s="8" t="s">
        <v>314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8.75" customHeight="1">
      <c r="A42" s="8" t="s">
        <v>347</v>
      </c>
      <c r="B42" s="8" t="s">
        <v>335</v>
      </c>
      <c r="C42" s="8" t="s">
        <v>31</v>
      </c>
      <c r="D42" s="8" t="s">
        <v>353</v>
      </c>
      <c r="E42" s="8" t="s">
        <v>354</v>
      </c>
      <c r="F42" s="8" t="s">
        <v>110</v>
      </c>
      <c r="G42" s="8" t="s">
        <v>66</v>
      </c>
      <c r="H42" s="8" t="s">
        <v>355</v>
      </c>
      <c r="I42" s="8" t="s">
        <v>86</v>
      </c>
      <c r="J42" s="8" t="s">
        <v>70</v>
      </c>
      <c r="K42" s="8" t="s">
        <v>170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8.75" customHeight="1">
      <c r="A43" s="8" t="s">
        <v>319</v>
      </c>
      <c r="B43" s="8" t="s">
        <v>356</v>
      </c>
      <c r="C43" s="8" t="s">
        <v>91</v>
      </c>
      <c r="D43" s="8" t="s">
        <v>295</v>
      </c>
      <c r="E43" s="8" t="s">
        <v>357</v>
      </c>
      <c r="F43" s="8" t="s">
        <v>110</v>
      </c>
      <c r="G43" s="8" t="s">
        <v>66</v>
      </c>
      <c r="H43" s="8" t="s">
        <v>358</v>
      </c>
      <c r="I43" s="8" t="s">
        <v>86</v>
      </c>
      <c r="J43" s="8" t="s">
        <v>70</v>
      </c>
      <c r="K43" s="8" t="s">
        <v>321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8.5" customHeight="1">
      <c r="A44" s="8" t="s">
        <v>325</v>
      </c>
      <c r="B44" s="8" t="s">
        <v>359</v>
      </c>
      <c r="C44" s="8" t="s">
        <v>31</v>
      </c>
      <c r="D44" s="8" t="s">
        <v>295</v>
      </c>
      <c r="E44" s="8" t="s">
        <v>360</v>
      </c>
      <c r="F44" s="8" t="s">
        <v>361</v>
      </c>
      <c r="G44" s="8" t="s">
        <v>66</v>
      </c>
      <c r="H44" s="8" t="s">
        <v>362</v>
      </c>
      <c r="I44" s="8" t="s">
        <v>363</v>
      </c>
      <c r="J44" s="8" t="s">
        <v>364</v>
      </c>
      <c r="K44" s="8" t="s">
        <v>326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8.75" customHeight="1">
      <c r="A45" s="8" t="s">
        <v>342</v>
      </c>
      <c r="B45" s="8" t="s">
        <v>365</v>
      </c>
      <c r="C45" s="8" t="s">
        <v>31</v>
      </c>
      <c r="D45" s="8" t="s">
        <v>366</v>
      </c>
      <c r="E45" s="8" t="s">
        <v>367</v>
      </c>
      <c r="F45" s="8" t="s">
        <v>110</v>
      </c>
      <c r="G45" s="8" t="s">
        <v>368</v>
      </c>
      <c r="H45" s="8" t="s">
        <v>369</v>
      </c>
      <c r="I45" s="8" t="s">
        <v>86</v>
      </c>
      <c r="J45" s="8" t="s">
        <v>70</v>
      </c>
      <c r="K45" s="8" t="s">
        <v>343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8.75" customHeight="1">
      <c r="A46" s="8" t="s">
        <v>344</v>
      </c>
      <c r="B46" s="8" t="s">
        <v>370</v>
      </c>
      <c r="C46" s="8" t="s">
        <v>31</v>
      </c>
      <c r="D46" s="8" t="s">
        <v>235</v>
      </c>
      <c r="E46" s="8" t="s">
        <v>264</v>
      </c>
      <c r="F46" s="8" t="s">
        <v>110</v>
      </c>
      <c r="G46" s="8" t="s">
        <v>66</v>
      </c>
      <c r="H46" s="8" t="s">
        <v>371</v>
      </c>
      <c r="I46" s="8" t="s">
        <v>86</v>
      </c>
      <c r="J46" s="8" t="s">
        <v>70</v>
      </c>
      <c r="K46" s="8" t="s">
        <v>346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66.75" customHeight="1">
      <c r="A47" s="8" t="s">
        <v>372</v>
      </c>
      <c r="B47" s="8" t="s">
        <v>373</v>
      </c>
      <c r="C47" s="8" t="s">
        <v>91</v>
      </c>
      <c r="D47" s="8" t="s">
        <v>374</v>
      </c>
      <c r="E47" s="8" t="s">
        <v>375</v>
      </c>
      <c r="F47" s="8" t="s">
        <v>110</v>
      </c>
      <c r="G47" s="8" t="s">
        <v>66</v>
      </c>
      <c r="H47" s="8" t="s">
        <v>376</v>
      </c>
      <c r="I47" s="8" t="s">
        <v>377</v>
      </c>
      <c r="J47" s="8" t="s">
        <v>70</v>
      </c>
      <c r="K47" s="8" t="s">
        <v>82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A1:K1"/>
    <mergeCell ref="A2:K2"/>
  </mergeCells>
  <conditionalFormatting sqref="C5:C47">
    <cfRule type="expression" dxfId="0" priority="1">
      <formula>ISNUMBER(SEARCH("Đang bảo trì",C5))</formula>
    </cfRule>
  </conditionalFormatting>
  <conditionalFormatting sqref="C5:C47">
    <cfRule type="expression" dxfId="1" priority="2">
      <formula>OR(ISNUMBER(SEARCH("Chậm",C5)),ISNUMBER(SEARCH("không rõ",C5)))</formula>
    </cfRule>
  </conditionalFormatting>
  <conditionalFormatting sqref="C5:C47">
    <cfRule type="expression" dxfId="2" priority="3">
      <formula>OR(ISNUMBER(SEARCH("Đã bỏ",C5)),ISNUMBER(SEARCH("Archived",C5)),ISNUMBER(SEARCH("archived",C5)))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6.0"/>
    <col customWidth="1" min="3" max="3" width="48.0"/>
    <col customWidth="1" min="4" max="4" width="24.0"/>
    <col customWidth="1" min="5" max="5" width="48.0"/>
    <col customWidth="1" min="6" max="26" width="8.63"/>
  </cols>
  <sheetData>
    <row r="1" ht="21.75" customHeight="1">
      <c r="A1" s="1" t="s">
        <v>2</v>
      </c>
      <c r="B1" s="2"/>
      <c r="C1" s="2"/>
      <c r="D1" s="2"/>
      <c r="E1" s="3"/>
      <c r="F1" s="5"/>
      <c r="G1" s="5"/>
      <c r="H1" s="5"/>
      <c r="I1" s="5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6" t="s">
        <v>6</v>
      </c>
      <c r="B2" s="2"/>
      <c r="C2" s="2"/>
      <c r="D2" s="2"/>
      <c r="E2" s="3"/>
      <c r="F2" s="5"/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7" t="s">
        <v>8</v>
      </c>
      <c r="B4" s="7" t="s">
        <v>9</v>
      </c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8" t="s">
        <v>13</v>
      </c>
      <c r="B5" s="8" t="s">
        <v>17</v>
      </c>
      <c r="C5" s="5"/>
      <c r="D5" s="5"/>
      <c r="E5" s="5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66.75" customHeight="1">
      <c r="A6" s="8" t="s">
        <v>23</v>
      </c>
      <c r="B6" s="8" t="s">
        <v>27</v>
      </c>
      <c r="C6" s="5"/>
      <c r="D6" s="5"/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8" t="s">
        <v>41</v>
      </c>
      <c r="B7" s="8" t="s">
        <v>44</v>
      </c>
      <c r="C7" s="5"/>
      <c r="D7" s="5"/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8.0" customHeight="1">
      <c r="A8" s="8" t="s">
        <v>50</v>
      </c>
      <c r="B8" s="8" t="s">
        <v>52</v>
      </c>
      <c r="C8" s="5"/>
      <c r="D8" s="5"/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8.0" customHeight="1">
      <c r="A9" s="8" t="s">
        <v>54</v>
      </c>
      <c r="B9" s="8" t="s">
        <v>55</v>
      </c>
      <c r="C9" s="5"/>
      <c r="D9" s="5"/>
      <c r="E9" s="5"/>
      <c r="F9" s="5"/>
      <c r="G9" s="5"/>
      <c r="H9" s="5"/>
      <c r="I9" s="5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8.0" customHeight="1">
      <c r="A10" s="8" t="s">
        <v>62</v>
      </c>
      <c r="B10" s="8" t="s">
        <v>65</v>
      </c>
      <c r="C10" s="5"/>
      <c r="D10" s="5"/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8.0" customHeight="1">
      <c r="A11" s="8" t="s">
        <v>71</v>
      </c>
      <c r="B11" s="8" t="s">
        <v>72</v>
      </c>
      <c r="C11" s="5"/>
      <c r="D11" s="5"/>
      <c r="E11" s="5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10" t="s">
        <v>92</v>
      </c>
      <c r="B13" s="2"/>
      <c r="C13" s="2"/>
      <c r="D13" s="2"/>
      <c r="E13" s="3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7" t="s">
        <v>103</v>
      </c>
      <c r="B15" s="7" t="s">
        <v>104</v>
      </c>
      <c r="C15" s="7" t="s">
        <v>105</v>
      </c>
      <c r="D15" s="5"/>
      <c r="E15" s="5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14.75" customHeight="1">
      <c r="A16" s="8" t="s">
        <v>108</v>
      </c>
      <c r="B16" s="8" t="s">
        <v>26</v>
      </c>
      <c r="C16" s="8" t="s">
        <v>111</v>
      </c>
      <c r="D16" s="5"/>
      <c r="E16" s="5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8.0" customHeight="1">
      <c r="A17" s="8" t="s">
        <v>115</v>
      </c>
      <c r="B17" s="8" t="s">
        <v>116</v>
      </c>
      <c r="C17" s="8" t="s">
        <v>117</v>
      </c>
      <c r="D17" s="5"/>
      <c r="E17" s="5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8.25" customHeight="1">
      <c r="A18" s="8" t="s">
        <v>121</v>
      </c>
      <c r="B18" s="8" t="s">
        <v>122</v>
      </c>
      <c r="C18" s="8" t="s">
        <v>124</v>
      </c>
      <c r="D18" s="5"/>
      <c r="E18" s="5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8" t="s">
        <v>130</v>
      </c>
      <c r="B19" s="8" t="s">
        <v>131</v>
      </c>
      <c r="C19" s="8" t="s">
        <v>132</v>
      </c>
      <c r="D19" s="5"/>
      <c r="E19" s="5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8"/>
      <c r="B20" s="8"/>
      <c r="C20" s="8"/>
      <c r="D20" s="5"/>
      <c r="E20" s="5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8" t="s">
        <v>140</v>
      </c>
      <c r="B21" s="8"/>
      <c r="C21" s="8"/>
      <c r="D21" s="5"/>
      <c r="E21" s="5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8" t="s">
        <v>143</v>
      </c>
      <c r="B22" s="8" t="s">
        <v>104</v>
      </c>
      <c r="C22" s="8" t="s">
        <v>144</v>
      </c>
      <c r="D22" s="5"/>
      <c r="E22" s="5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8" t="s">
        <v>147</v>
      </c>
      <c r="B23" s="8" t="s">
        <v>148</v>
      </c>
      <c r="C23" s="8" t="s">
        <v>149</v>
      </c>
      <c r="D23" s="5"/>
      <c r="E23" s="5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8" t="s">
        <v>150</v>
      </c>
      <c r="B24" s="8" t="s">
        <v>151</v>
      </c>
      <c r="C24" s="8" t="s">
        <v>152</v>
      </c>
      <c r="D24" s="5"/>
      <c r="E24" s="5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8" t="s">
        <v>157</v>
      </c>
      <c r="B25" s="8" t="s">
        <v>159</v>
      </c>
      <c r="C25" s="8" t="s">
        <v>160</v>
      </c>
      <c r="D25" s="5"/>
      <c r="E25" s="5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8" t="s">
        <v>166</v>
      </c>
      <c r="B26" s="8" t="s">
        <v>167</v>
      </c>
      <c r="C26" s="8" t="s">
        <v>168</v>
      </c>
      <c r="D26" s="5"/>
      <c r="E26" s="5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13" t="s">
        <v>181</v>
      </c>
      <c r="B29" s="2"/>
      <c r="C29" s="2"/>
      <c r="D29" s="2"/>
      <c r="E29" s="3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14" t="s">
        <v>193</v>
      </c>
      <c r="B30" s="14" t="s">
        <v>197</v>
      </c>
      <c r="C30" s="14" t="s">
        <v>199</v>
      </c>
      <c r="D30" s="14" t="s">
        <v>200</v>
      </c>
      <c r="E30" s="14" t="s">
        <v>201</v>
      </c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15" t="s">
        <v>204</v>
      </c>
      <c r="B31" s="15" t="s">
        <v>209</v>
      </c>
      <c r="C31" s="15" t="s">
        <v>211</v>
      </c>
      <c r="D31" s="15" t="s">
        <v>212</v>
      </c>
      <c r="E31" s="15" t="s">
        <v>213</v>
      </c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15" t="s">
        <v>216</v>
      </c>
      <c r="B32" s="15" t="s">
        <v>217</v>
      </c>
      <c r="C32" s="15" t="s">
        <v>218</v>
      </c>
      <c r="D32" s="15" t="s">
        <v>212</v>
      </c>
      <c r="E32" s="15" t="s">
        <v>219</v>
      </c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15" t="s">
        <v>221</v>
      </c>
      <c r="B33" s="15" t="s">
        <v>222</v>
      </c>
      <c r="C33" s="15" t="s">
        <v>223</v>
      </c>
      <c r="D33" s="15" t="s">
        <v>224</v>
      </c>
      <c r="E33" s="15" t="s">
        <v>226</v>
      </c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15" t="s">
        <v>229</v>
      </c>
      <c r="B34" s="15" t="s">
        <v>230</v>
      </c>
      <c r="C34" s="15" t="s">
        <v>231</v>
      </c>
      <c r="D34" s="15" t="s">
        <v>232</v>
      </c>
      <c r="E34" s="15" t="s">
        <v>233</v>
      </c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15" t="s">
        <v>237</v>
      </c>
      <c r="B35" s="15" t="s">
        <v>238</v>
      </c>
      <c r="C35" s="15" t="s">
        <v>239</v>
      </c>
      <c r="D35" s="15" t="s">
        <v>240</v>
      </c>
      <c r="E35" s="15" t="s">
        <v>241</v>
      </c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E1"/>
    <mergeCell ref="A2:E2"/>
    <mergeCell ref="A13:E13"/>
    <mergeCell ref="A29:E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42.0"/>
    <col customWidth="1" min="3" max="3" width="58.0"/>
    <col customWidth="1" min="4" max="4" width="22.0"/>
    <col customWidth="1" min="5" max="26" width="8.63"/>
  </cols>
  <sheetData>
    <row r="1" ht="21.75" customHeight="1">
      <c r="A1" s="1" t="s">
        <v>3</v>
      </c>
      <c r="B1" s="2"/>
      <c r="C1" s="2"/>
      <c r="D1" s="3"/>
      <c r="E1" s="5"/>
      <c r="F1" s="5"/>
      <c r="G1" s="5"/>
      <c r="H1" s="5"/>
      <c r="I1" s="5"/>
      <c r="J1" s="5"/>
      <c r="K1" s="5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6" t="s">
        <v>7</v>
      </c>
      <c r="B2" s="2"/>
      <c r="C2" s="2"/>
      <c r="D2" s="3"/>
      <c r="E2" s="5"/>
      <c r="F2" s="5"/>
      <c r="G2" s="5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0" customHeight="1">
      <c r="A4" s="7" t="s">
        <v>25</v>
      </c>
      <c r="B4" s="7" t="s">
        <v>32</v>
      </c>
      <c r="C4" s="7" t="s">
        <v>35</v>
      </c>
      <c r="D4" s="7" t="s">
        <v>37</v>
      </c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0" customHeight="1">
      <c r="A5" s="8">
        <v>1.0</v>
      </c>
      <c r="B5" s="8" t="s">
        <v>26</v>
      </c>
      <c r="C5" s="8" t="s">
        <v>49</v>
      </c>
      <c r="D5" s="8" t="s">
        <v>51</v>
      </c>
      <c r="E5" s="5"/>
      <c r="F5" s="5"/>
      <c r="G5" s="5"/>
      <c r="H5" s="5"/>
      <c r="I5" s="5"/>
      <c r="J5" s="5"/>
      <c r="K5" s="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0" customHeight="1">
      <c r="A6" s="8">
        <v>2.0</v>
      </c>
      <c r="B6" s="8" t="s">
        <v>56</v>
      </c>
      <c r="C6" s="8" t="s">
        <v>57</v>
      </c>
      <c r="D6" s="8" t="s">
        <v>51</v>
      </c>
      <c r="E6" s="5"/>
      <c r="F6" s="5"/>
      <c r="G6" s="5"/>
      <c r="H6" s="5"/>
      <c r="I6" s="5"/>
      <c r="J6" s="5"/>
      <c r="K6" s="5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0" customHeight="1">
      <c r="A7" s="8">
        <v>3.0</v>
      </c>
      <c r="B7" s="8" t="s">
        <v>64</v>
      </c>
      <c r="C7" s="8" t="s">
        <v>67</v>
      </c>
      <c r="D7" s="8" t="s">
        <v>51</v>
      </c>
      <c r="E7" s="5"/>
      <c r="F7" s="5"/>
      <c r="G7" s="5"/>
      <c r="H7" s="5"/>
      <c r="I7" s="5"/>
      <c r="J7" s="5"/>
      <c r="K7" s="5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0" customHeight="1">
      <c r="A8" s="8">
        <v>4.0</v>
      </c>
      <c r="B8" s="8" t="s">
        <v>73</v>
      </c>
      <c r="C8" s="8" t="s">
        <v>74</v>
      </c>
      <c r="D8" s="8" t="s">
        <v>51</v>
      </c>
      <c r="E8" s="5"/>
      <c r="F8" s="5"/>
      <c r="G8" s="5"/>
      <c r="H8" s="5"/>
      <c r="I8" s="5"/>
      <c r="J8" s="5"/>
      <c r="K8" s="5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0" customHeight="1">
      <c r="A9" s="8">
        <v>5.0</v>
      </c>
      <c r="B9" s="8" t="s">
        <v>81</v>
      </c>
      <c r="C9" s="8" t="s">
        <v>82</v>
      </c>
      <c r="D9" s="8" t="s">
        <v>51</v>
      </c>
      <c r="E9" s="5"/>
      <c r="F9" s="5"/>
      <c r="G9" s="5"/>
      <c r="H9" s="5"/>
      <c r="I9" s="5"/>
      <c r="J9" s="5"/>
      <c r="K9" s="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0" customHeight="1">
      <c r="A10" s="8">
        <v>6.0</v>
      </c>
      <c r="B10" s="8" t="s">
        <v>87</v>
      </c>
      <c r="C10" s="8" t="s">
        <v>88</v>
      </c>
      <c r="D10" s="8" t="s">
        <v>51</v>
      </c>
      <c r="E10" s="5"/>
      <c r="F10" s="5"/>
      <c r="G10" s="5"/>
      <c r="H10" s="5"/>
      <c r="I10" s="5"/>
      <c r="J10" s="5"/>
      <c r="K10" s="5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0" customHeight="1">
      <c r="A11" s="8">
        <v>7.0</v>
      </c>
      <c r="B11" s="8" t="s">
        <v>106</v>
      </c>
      <c r="C11" s="8" t="s">
        <v>114</v>
      </c>
      <c r="D11" s="8" t="s">
        <v>51</v>
      </c>
      <c r="E11" s="5"/>
      <c r="F11" s="5"/>
      <c r="G11" s="5"/>
      <c r="H11" s="5"/>
      <c r="I11" s="5"/>
      <c r="J11" s="5"/>
      <c r="K11" s="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0" customHeight="1">
      <c r="A12" s="8">
        <v>8.0</v>
      </c>
      <c r="B12" s="8" t="s">
        <v>119</v>
      </c>
      <c r="C12" s="8" t="s">
        <v>129</v>
      </c>
      <c r="D12" s="8" t="s">
        <v>51</v>
      </c>
      <c r="E12" s="5"/>
      <c r="F12" s="5"/>
      <c r="G12" s="5"/>
      <c r="H12" s="5"/>
      <c r="I12" s="5"/>
      <c r="J12" s="5"/>
      <c r="K12" s="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0" customHeight="1">
      <c r="A13" s="8">
        <v>9.0</v>
      </c>
      <c r="B13" s="8" t="s">
        <v>133</v>
      </c>
      <c r="C13" s="8" t="s">
        <v>136</v>
      </c>
      <c r="D13" s="8" t="s">
        <v>51</v>
      </c>
      <c r="E13" s="5"/>
      <c r="F13" s="5"/>
      <c r="G13" s="5"/>
      <c r="H13" s="5"/>
      <c r="I13" s="5"/>
      <c r="J13" s="5"/>
      <c r="K13" s="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0" customHeight="1">
      <c r="A14" s="8">
        <v>10.0</v>
      </c>
      <c r="B14" s="8" t="s">
        <v>141</v>
      </c>
      <c r="C14" s="8" t="s">
        <v>142</v>
      </c>
      <c r="D14" s="8" t="s">
        <v>51</v>
      </c>
      <c r="E14" s="5"/>
      <c r="F14" s="5"/>
      <c r="G14" s="5"/>
      <c r="H14" s="5"/>
      <c r="I14" s="5"/>
      <c r="J14" s="5"/>
      <c r="K14" s="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0" customHeight="1">
      <c r="A15" s="8">
        <v>11.0</v>
      </c>
      <c r="B15" s="8" t="s">
        <v>145</v>
      </c>
      <c r="C15" s="8" t="s">
        <v>146</v>
      </c>
      <c r="D15" s="8" t="s">
        <v>51</v>
      </c>
      <c r="E15" s="5"/>
      <c r="F15" s="5"/>
      <c r="G15" s="5"/>
      <c r="H15" s="5"/>
      <c r="I15" s="5"/>
      <c r="J15" s="5"/>
      <c r="K15" s="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0" customHeight="1">
      <c r="A16" s="8">
        <v>12.0</v>
      </c>
      <c r="B16" s="8" t="s">
        <v>153</v>
      </c>
      <c r="C16" s="8" t="s">
        <v>154</v>
      </c>
      <c r="D16" s="8" t="s">
        <v>51</v>
      </c>
      <c r="E16" s="5"/>
      <c r="F16" s="5"/>
      <c r="G16" s="5"/>
      <c r="H16" s="5"/>
      <c r="I16" s="5"/>
      <c r="J16" s="5"/>
      <c r="K16" s="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0" customHeight="1">
      <c r="A17" s="8">
        <v>13.0</v>
      </c>
      <c r="B17" s="8" t="s">
        <v>162</v>
      </c>
      <c r="C17" s="8" t="s">
        <v>164</v>
      </c>
      <c r="D17" s="8" t="s">
        <v>51</v>
      </c>
      <c r="E17" s="5"/>
      <c r="F17" s="5"/>
      <c r="G17" s="5"/>
      <c r="H17" s="5"/>
      <c r="I17" s="5"/>
      <c r="J17" s="5"/>
      <c r="K17" s="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0" customHeight="1">
      <c r="A18" s="8">
        <v>14.0</v>
      </c>
      <c r="B18" s="8" t="s">
        <v>169</v>
      </c>
      <c r="C18" s="8" t="s">
        <v>170</v>
      </c>
      <c r="D18" s="8" t="s">
        <v>51</v>
      </c>
      <c r="E18" s="5"/>
      <c r="F18" s="5"/>
      <c r="G18" s="5"/>
      <c r="H18" s="5"/>
      <c r="I18" s="5"/>
      <c r="J18" s="5"/>
      <c r="K18" s="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0" customHeight="1">
      <c r="A19" s="8">
        <v>15.0</v>
      </c>
      <c r="B19" s="8" t="s">
        <v>176</v>
      </c>
      <c r="C19" s="8" t="s">
        <v>177</v>
      </c>
      <c r="D19" s="8" t="s">
        <v>51</v>
      </c>
      <c r="E19" s="5"/>
      <c r="F19" s="5"/>
      <c r="G19" s="5"/>
      <c r="H19" s="5"/>
      <c r="I19" s="5"/>
      <c r="J19" s="5"/>
      <c r="K19" s="5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0" customHeight="1">
      <c r="A20" s="8">
        <v>16.0</v>
      </c>
      <c r="B20" s="8" t="s">
        <v>182</v>
      </c>
      <c r="C20" s="8" t="s">
        <v>184</v>
      </c>
      <c r="D20" s="8" t="s">
        <v>51</v>
      </c>
      <c r="E20" s="5"/>
      <c r="F20" s="5"/>
      <c r="G20" s="5"/>
      <c r="H20" s="5"/>
      <c r="I20" s="5"/>
      <c r="J20" s="5"/>
      <c r="K20" s="5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0" customHeight="1">
      <c r="A21" s="8">
        <v>17.0</v>
      </c>
      <c r="B21" s="8" t="s">
        <v>188</v>
      </c>
      <c r="C21" s="8" t="s">
        <v>190</v>
      </c>
      <c r="D21" s="8" t="s">
        <v>51</v>
      </c>
      <c r="E21" s="5"/>
      <c r="F21" s="5"/>
      <c r="G21" s="5"/>
      <c r="H21" s="5"/>
      <c r="I21" s="5"/>
      <c r="J21" s="5"/>
      <c r="K21" s="5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0" customHeight="1">
      <c r="A22" s="8">
        <v>18.0</v>
      </c>
      <c r="B22" s="8" t="s">
        <v>203</v>
      </c>
      <c r="C22" s="8" t="s">
        <v>206</v>
      </c>
      <c r="D22" s="8" t="s">
        <v>51</v>
      </c>
      <c r="E22" s="5"/>
      <c r="F22" s="5"/>
      <c r="G22" s="5"/>
      <c r="H22" s="5"/>
      <c r="I22" s="5"/>
      <c r="J22" s="5"/>
      <c r="K22" s="5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0" customHeight="1">
      <c r="A23" s="8">
        <v>19.0</v>
      </c>
      <c r="B23" s="8" t="s">
        <v>244</v>
      </c>
      <c r="C23" s="8" t="s">
        <v>246</v>
      </c>
      <c r="D23" s="8" t="s">
        <v>51</v>
      </c>
      <c r="E23" s="5"/>
      <c r="F23" s="5"/>
      <c r="G23" s="5"/>
      <c r="H23" s="5"/>
      <c r="I23" s="5"/>
      <c r="J23" s="5"/>
      <c r="K23" s="5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0" customHeight="1">
      <c r="A24" s="8">
        <v>20.0</v>
      </c>
      <c r="B24" s="8" t="s">
        <v>250</v>
      </c>
      <c r="C24" s="8" t="s">
        <v>251</v>
      </c>
      <c r="D24" s="8" t="s">
        <v>51</v>
      </c>
      <c r="E24" s="5"/>
      <c r="F24" s="5"/>
      <c r="G24" s="5"/>
      <c r="H24" s="5"/>
      <c r="I24" s="5"/>
      <c r="J24" s="5"/>
      <c r="K24" s="5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0" customHeight="1">
      <c r="A25" s="8">
        <v>21.0</v>
      </c>
      <c r="B25" s="8" t="s">
        <v>257</v>
      </c>
      <c r="C25" s="8" t="s">
        <v>258</v>
      </c>
      <c r="D25" s="8" t="s">
        <v>51</v>
      </c>
      <c r="E25" s="5"/>
      <c r="F25" s="5"/>
      <c r="G25" s="5"/>
      <c r="H25" s="5"/>
      <c r="I25" s="5"/>
      <c r="J25" s="5"/>
      <c r="K25" s="5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0" customHeight="1">
      <c r="A26" s="8">
        <v>22.0</v>
      </c>
      <c r="B26" s="8" t="s">
        <v>261</v>
      </c>
      <c r="C26" s="8" t="s">
        <v>263</v>
      </c>
      <c r="D26" s="8" t="s">
        <v>51</v>
      </c>
      <c r="E26" s="5"/>
      <c r="F26" s="5"/>
      <c r="G26" s="5"/>
      <c r="H26" s="5"/>
      <c r="I26" s="5"/>
      <c r="J26" s="5"/>
      <c r="K26" s="5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0" customHeight="1">
      <c r="A27" s="8">
        <v>23.0</v>
      </c>
      <c r="B27" s="8" t="s">
        <v>266</v>
      </c>
      <c r="C27" s="8" t="s">
        <v>268</v>
      </c>
      <c r="D27" s="8" t="s">
        <v>51</v>
      </c>
      <c r="E27" s="5"/>
      <c r="F27" s="5"/>
      <c r="G27" s="5"/>
      <c r="H27" s="5"/>
      <c r="I27" s="5"/>
      <c r="J27" s="5"/>
      <c r="K27" s="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0" customHeight="1">
      <c r="A28" s="8">
        <v>24.0</v>
      </c>
      <c r="B28" s="8" t="s">
        <v>272</v>
      </c>
      <c r="C28" s="8" t="s">
        <v>273</v>
      </c>
      <c r="D28" s="8" t="s">
        <v>51</v>
      </c>
      <c r="E28" s="5"/>
      <c r="F28" s="5"/>
      <c r="G28" s="5"/>
      <c r="H28" s="5"/>
      <c r="I28" s="5"/>
      <c r="J28" s="5"/>
      <c r="K28" s="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0" customHeight="1">
      <c r="A29" s="8">
        <v>25.0</v>
      </c>
      <c r="B29" s="8" t="s">
        <v>275</v>
      </c>
      <c r="C29" s="8" t="s">
        <v>276</v>
      </c>
      <c r="D29" s="8" t="s">
        <v>51</v>
      </c>
      <c r="E29" s="5"/>
      <c r="F29" s="5"/>
      <c r="G29" s="5"/>
      <c r="H29" s="5"/>
      <c r="I29" s="5"/>
      <c r="J29" s="5"/>
      <c r="K29" s="5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0" customHeight="1">
      <c r="A30" s="8">
        <v>26.0</v>
      </c>
      <c r="B30" s="8" t="s">
        <v>279</v>
      </c>
      <c r="C30" s="8" t="s">
        <v>281</v>
      </c>
      <c r="D30" s="8" t="s">
        <v>51</v>
      </c>
      <c r="E30" s="5"/>
      <c r="F30" s="5"/>
      <c r="G30" s="5"/>
      <c r="H30" s="5"/>
      <c r="I30" s="5"/>
      <c r="J30" s="5"/>
      <c r="K30" s="5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0" customHeight="1">
      <c r="A31" s="8">
        <v>27.0</v>
      </c>
      <c r="B31" s="8" t="s">
        <v>284</v>
      </c>
      <c r="C31" s="8" t="s">
        <v>285</v>
      </c>
      <c r="D31" s="8" t="s">
        <v>51</v>
      </c>
      <c r="E31" s="5"/>
      <c r="F31" s="5"/>
      <c r="G31" s="5"/>
      <c r="H31" s="5"/>
      <c r="I31" s="5"/>
      <c r="J31" s="5"/>
      <c r="K31" s="5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0" customHeight="1">
      <c r="A32" s="8">
        <v>28.0</v>
      </c>
      <c r="B32" s="8" t="s">
        <v>291</v>
      </c>
      <c r="C32" s="8" t="s">
        <v>292</v>
      </c>
      <c r="D32" s="8" t="s">
        <v>51</v>
      </c>
      <c r="E32" s="5"/>
      <c r="F32" s="5"/>
      <c r="G32" s="5"/>
      <c r="H32" s="5"/>
      <c r="I32" s="5"/>
      <c r="J32" s="5"/>
      <c r="K32" s="5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0" customHeight="1">
      <c r="A33" s="8">
        <v>29.0</v>
      </c>
      <c r="B33" s="8" t="s">
        <v>298</v>
      </c>
      <c r="C33" s="8" t="s">
        <v>299</v>
      </c>
      <c r="D33" s="8" t="s">
        <v>51</v>
      </c>
      <c r="E33" s="5"/>
      <c r="F33" s="5"/>
      <c r="G33" s="5"/>
      <c r="H33" s="5"/>
      <c r="I33" s="5"/>
      <c r="J33" s="5"/>
      <c r="K33" s="5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0" customHeight="1">
      <c r="A34" s="8">
        <v>30.0</v>
      </c>
      <c r="B34" s="8" t="s">
        <v>303</v>
      </c>
      <c r="C34" s="8" t="s">
        <v>304</v>
      </c>
      <c r="D34" s="8" t="s">
        <v>51</v>
      </c>
      <c r="E34" s="5"/>
      <c r="F34" s="5"/>
      <c r="G34" s="5"/>
      <c r="H34" s="5"/>
      <c r="I34" s="5"/>
      <c r="J34" s="5"/>
      <c r="K34" s="5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0" customHeight="1">
      <c r="A35" s="8">
        <v>31.0</v>
      </c>
      <c r="B35" s="8" t="s">
        <v>309</v>
      </c>
      <c r="C35" s="8" t="s">
        <v>310</v>
      </c>
      <c r="D35" s="8" t="s">
        <v>51</v>
      </c>
      <c r="E35" s="5"/>
      <c r="F35" s="5"/>
      <c r="G35" s="5"/>
      <c r="H35" s="5"/>
      <c r="I35" s="5"/>
      <c r="J35" s="5"/>
      <c r="K35" s="5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0" customHeight="1">
      <c r="A36" s="8">
        <v>32.0</v>
      </c>
      <c r="B36" s="8" t="s">
        <v>313</v>
      </c>
      <c r="C36" s="8" t="s">
        <v>314</v>
      </c>
      <c r="D36" s="8" t="s">
        <v>51</v>
      </c>
      <c r="E36" s="5"/>
      <c r="F36" s="5"/>
      <c r="G36" s="5"/>
      <c r="H36" s="5"/>
      <c r="I36" s="5"/>
      <c r="J36" s="5"/>
      <c r="K36" s="5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0" customHeight="1">
      <c r="A37" s="8">
        <v>33.0</v>
      </c>
      <c r="B37" s="8" t="s">
        <v>319</v>
      </c>
      <c r="C37" s="8" t="s">
        <v>321</v>
      </c>
      <c r="D37" s="8" t="s">
        <v>51</v>
      </c>
      <c r="E37" s="5"/>
      <c r="F37" s="5"/>
      <c r="G37" s="5"/>
      <c r="H37" s="5"/>
      <c r="I37" s="5"/>
      <c r="J37" s="5"/>
      <c r="K37" s="5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0" customHeight="1">
      <c r="A38" s="8">
        <v>34.0</v>
      </c>
      <c r="B38" s="8" t="s">
        <v>325</v>
      </c>
      <c r="C38" s="8" t="s">
        <v>326</v>
      </c>
      <c r="D38" s="8" t="s">
        <v>51</v>
      </c>
      <c r="E38" s="5"/>
      <c r="F38" s="5"/>
      <c r="G38" s="5"/>
      <c r="H38" s="5"/>
      <c r="I38" s="5"/>
      <c r="J38" s="5"/>
      <c r="K38" s="5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0" customHeight="1">
      <c r="A39" s="8">
        <v>35.0</v>
      </c>
      <c r="B39" s="8" t="s">
        <v>342</v>
      </c>
      <c r="C39" s="8" t="s">
        <v>343</v>
      </c>
      <c r="D39" s="8" t="s">
        <v>51</v>
      </c>
      <c r="E39" s="5"/>
      <c r="F39" s="5"/>
      <c r="G39" s="5"/>
      <c r="H39" s="5"/>
      <c r="I39" s="5"/>
      <c r="J39" s="5"/>
      <c r="K39" s="5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0" customHeight="1">
      <c r="A40" s="8">
        <v>36.0</v>
      </c>
      <c r="B40" s="8" t="s">
        <v>344</v>
      </c>
      <c r="C40" s="8" t="s">
        <v>346</v>
      </c>
      <c r="D40" s="8" t="s">
        <v>51</v>
      </c>
      <c r="E40" s="5"/>
      <c r="F40" s="5"/>
      <c r="G40" s="5"/>
      <c r="H40" s="5"/>
      <c r="I40" s="5"/>
      <c r="J40" s="5"/>
      <c r="K40" s="5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8">
        <v>37.0</v>
      </c>
      <c r="B41" s="8" t="s">
        <v>348</v>
      </c>
      <c r="C41" s="8" t="s">
        <v>349</v>
      </c>
      <c r="D41" s="8" t="s">
        <v>240</v>
      </c>
      <c r="E41" s="5"/>
      <c r="F41" s="5"/>
      <c r="G41" s="5"/>
      <c r="H41" s="5"/>
      <c r="I41" s="5"/>
      <c r="J41" s="5"/>
      <c r="K41" s="5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8">
        <v>38.0</v>
      </c>
      <c r="B42" s="8" t="s">
        <v>350</v>
      </c>
      <c r="C42" s="8" t="s">
        <v>351</v>
      </c>
      <c r="D42" s="8" t="s">
        <v>240</v>
      </c>
      <c r="E42" s="5"/>
      <c r="F42" s="5"/>
      <c r="G42" s="5"/>
      <c r="H42" s="5"/>
      <c r="I42" s="5"/>
      <c r="J42" s="5"/>
      <c r="K42" s="5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8">
        <v>39.0</v>
      </c>
      <c r="B43" s="8" t="s">
        <v>352</v>
      </c>
      <c r="C43" s="8" t="s">
        <v>241</v>
      </c>
      <c r="D43" s="8" t="s">
        <v>240</v>
      </c>
      <c r="E43" s="5"/>
      <c r="F43" s="5"/>
      <c r="G43" s="5"/>
      <c r="H43" s="5"/>
      <c r="I43" s="5"/>
      <c r="J43" s="5"/>
      <c r="K43" s="5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8">
        <v>40.0</v>
      </c>
      <c r="B44" s="8" t="s">
        <v>378</v>
      </c>
      <c r="C44" s="8" t="s">
        <v>379</v>
      </c>
      <c r="D44" s="8" t="s">
        <v>380</v>
      </c>
      <c r="E44" s="5"/>
      <c r="F44" s="5"/>
      <c r="G44" s="5"/>
      <c r="H44" s="5"/>
      <c r="I44" s="5"/>
      <c r="J44" s="5"/>
      <c r="K44" s="5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8">
        <v>41.0</v>
      </c>
      <c r="B45" s="8" t="s">
        <v>381</v>
      </c>
      <c r="C45" s="8" t="s">
        <v>382</v>
      </c>
      <c r="D45" s="8" t="s">
        <v>240</v>
      </c>
      <c r="E45" s="5"/>
      <c r="F45" s="5"/>
      <c r="G45" s="5"/>
      <c r="H45" s="5"/>
      <c r="I45" s="5"/>
      <c r="J45" s="5"/>
      <c r="K45" s="5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8">
        <v>42.0</v>
      </c>
      <c r="B46" s="8" t="s">
        <v>383</v>
      </c>
      <c r="C46" s="8" t="s">
        <v>384</v>
      </c>
      <c r="D46" s="8" t="s">
        <v>240</v>
      </c>
      <c r="E46" s="5"/>
      <c r="F46" s="5"/>
      <c r="G46" s="5"/>
      <c r="H46" s="5"/>
      <c r="I46" s="5"/>
      <c r="J46" s="5"/>
      <c r="K46" s="5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8">
        <v>43.0</v>
      </c>
      <c r="B47" s="8" t="s">
        <v>385</v>
      </c>
      <c r="C47" s="8" t="s">
        <v>386</v>
      </c>
      <c r="D47" s="8" t="s">
        <v>240</v>
      </c>
      <c r="E47" s="5"/>
      <c r="F47" s="5"/>
      <c r="G47" s="5"/>
      <c r="H47" s="5"/>
      <c r="I47" s="5"/>
      <c r="J47" s="5"/>
      <c r="K47" s="5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8">
        <v>44.0</v>
      </c>
      <c r="B48" s="8" t="s">
        <v>389</v>
      </c>
      <c r="C48" s="8" t="s">
        <v>390</v>
      </c>
      <c r="D48" s="8" t="s">
        <v>240</v>
      </c>
      <c r="E48" s="5"/>
      <c r="F48" s="5"/>
      <c r="G48" s="5"/>
      <c r="H48" s="5"/>
      <c r="I48" s="5"/>
      <c r="J48" s="5"/>
      <c r="K48" s="5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8">
        <v>45.0</v>
      </c>
      <c r="B49" s="8" t="s">
        <v>391</v>
      </c>
      <c r="C49" s="8" t="s">
        <v>233</v>
      </c>
      <c r="D49" s="8" t="s">
        <v>380</v>
      </c>
      <c r="E49" s="5"/>
      <c r="F49" s="5"/>
      <c r="G49" s="5"/>
      <c r="H49" s="5"/>
      <c r="I49" s="5"/>
      <c r="J49" s="5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8">
        <v>46.0</v>
      </c>
      <c r="B50" s="8" t="s">
        <v>392</v>
      </c>
      <c r="C50" s="8" t="s">
        <v>213</v>
      </c>
      <c r="D50" s="8" t="s">
        <v>393</v>
      </c>
      <c r="E50" s="5"/>
      <c r="F50" s="5"/>
      <c r="G50" s="5"/>
      <c r="H50" s="5"/>
      <c r="I50" s="5"/>
      <c r="J50" s="5"/>
      <c r="K50" s="5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</sheetData>
  <mergeCells count="2">
    <mergeCell ref="A1:D1"/>
    <mergeCell ref="A2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